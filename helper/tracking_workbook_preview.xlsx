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FLOW TEMPLATE" sheetId="2" state="visible" r:id="rId4"/>
    <sheet name="SUMMARY" sheetId="3" state="visible" r:id="rId5"/>
    <sheet name="PROGRESS" sheetId="4" state="visible" r:id="rId6"/>
  </sheets>
  <definedNames>
    <definedName function="false" hidden="false" localSheetId="1" name="_xlnm.Print_Titles" vbProcedure="false">'FLOW TEMPLATE'!$4:$4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<sst xmlns="http://schemas.openxmlformats.org/spreadsheetml/2006/main" count="342" uniqueCount="206">
  <si>
    <t xml:space="preserve">Tracking documentation</t>
  </si>
  <si>
    <t xml:space="preserve">Documenting a flow</t>
  </si>
  <si>
    <t xml:space="preserve">1. Right-click the FLOW TEMPLATE tab → Move or Copy → tick 'Create a copy' → OK. Rename the copy, e.g. 'Transfer Flow'.</t>
  </si>
  <si>
    <t xml:space="preserve">2. Fill the flow name, owner and date at the top of the sheet.</t>
  </si>
  <si>
    <t xml:space="preserve">3. Each screen block has a title row (screen key + screen name) and 8 event rows next to one merged IMAGE cell.</t>
  </si>
  <si>
    <t xml:space="preserve">4. Screenshot: select the IMAGE cell → Insert → Pictures → Place in Cell (Excel 365). The picture stays inside the cell when rows are added or sorted.</t>
  </si>
  <si>
    <t xml:space="preserve">5. EVENT TYPE has a drop-down with every tracker in the JSON. Write one event per row.</t>
  </si>
  <si>
    <t xml:space="preserve">6. Several parameters or values: put each on its own line in the same cell (Windows: Alt+Enter · Mac: Option+Return), so they line up with each other.</t>
  </si>
  <si>
    <t xml:space="preserve">7. An event fired several times with different values: list all distinct values in VALUE, one per line.</t>
  </si>
  <si>
    <t xml:space="preserve">8. Need more rows in a screen? Insert rows inside the block (above its last row); the IMAGE cell grows with them. Need more blocks? Copy a whole empty block (title row + rows) and paste it below.</t>
  </si>
  <si>
    <t xml:space="preserve">Tracking progress</t>
  </si>
  <si>
    <t xml:space="preserve">9. When an event is documented in any flow sheet, open SUMMARY and pick ✓ in the Done column of its row. Optionally write the flow name in 'Documented in'.</t>
  </si>
  <si>
    <t xml:space="preserve">10. Use the filter buttons in the SUMMARY header: Done = (Blanks) gives the to-do list; filter by Feature or Type to split the work.</t>
  </si>
  <si>
    <t xml:space="preserve">11. PROGRESS updates by itself: screens and events done, per feature.</t>
  </si>
  <si>
    <t xml:space="preserve">About SUMMARY</t>
  </si>
  <si>
    <t xml:space="preserve">• One row per key in the JSON (44 keys). Type 'Screen' = keys starting with 'visit'; every other key is an Event, labelled with its own prefix.</t>
  </si>
  <si>
    <t xml:space="preserve">• Feature is a guess from the first word(s) of the key name. Keys whose name continues a screen key are listed right under it, indented.</t>
  </si>
  <si>
    <t xml:space="preserve">• Tracker columns show each tracker's event name; Parameters lists the field names the trackers receive.</t>
  </si>
  <si>
    <t xml:space="preserve">• SUMMARY and PROGRESS only use formulas inside this workbook, so both sheets can be copied into another workbook (Move or Copy → To book).</t>
  </si>
  <si>
    <t xml:space="preserve">FLOW NAME</t>
  </si>
  <si>
    <t xml:space="preserve">Owner:</t>
  </si>
  <si>
    <t xml:space="preserve">Last updated:</t>
  </si>
  <si>
    <t xml:space="preserve">Rename this sheet to the flow name</t>
  </si>
  <si>
    <t xml:space="preserve">IMAGE</t>
  </si>
  <si>
    <t xml:space="preserve">EVENT TYPE</t>
  </si>
  <si>
    <t xml:space="preserve">EVENT NAME</t>
  </si>
  <si>
    <t xml:space="preserve">EVENT PARAMETERS</t>
  </si>
  <si>
    <t xml:space="preserve">VALUE</t>
  </si>
  <si>
    <t xml:space="preserve">NOTES</t>
  </si>
  <si>
    <t xml:space="preserve">#1  Screen key ›</t>
  </si>
  <si>
    <t xml:space="preserve">Screen name ›</t>
  </si>
  <si>
    <t xml:space="preserve">paste screenshot
(Insert › Pictures › Place in Cell)</t>
  </si>
  <si>
    <t xml:space="preserve">#2  Screen key ›</t>
  </si>
  <si>
    <t xml:space="preserve">#3  Screen key ›</t>
  </si>
  <si>
    <t xml:space="preserve">#4  Screen key ›</t>
  </si>
  <si>
    <t xml:space="preserve">#5  Screen key ›</t>
  </si>
  <si>
    <t xml:space="preserve">#6  Screen key ›</t>
  </si>
  <si>
    <t xml:space="preserve">#7  Screen key ›</t>
  </si>
  <si>
    <t xml:space="preserve">#8  Screen key ›</t>
  </si>
  <si>
    <t xml:space="preserve">#9  Screen key ›</t>
  </si>
  <si>
    <t xml:space="preserve">#10  Screen key ›</t>
  </si>
  <si>
    <t xml:space="preserve">#11  Screen key ›</t>
  </si>
  <si>
    <t xml:space="preserve">#12  Screen key ›</t>
  </si>
  <si>
    <t xml:space="preserve">#13  Screen key ›</t>
  </si>
  <si>
    <t xml:space="preserve">#14  Screen key ›</t>
  </si>
  <si>
    <t xml:space="preserve">#15  Screen key ›</t>
  </si>
  <si>
    <t xml:space="preserve">#16  Screen key ›</t>
  </si>
  <si>
    <t xml:space="preserve">#17  Screen key ›</t>
  </si>
  <si>
    <t xml:space="preserve">#18  Screen key ›</t>
  </si>
  <si>
    <t xml:space="preserve">#19  Screen key ›</t>
  </si>
  <si>
    <t xml:space="preserve">#20  Screen key ›</t>
  </si>
  <si>
    <t xml:space="preserve">SUMMARY · every key in the JSON</t>
  </si>
  <si>
    <t xml:space="preserve">Pick ✓ in Done when the key is documented in a flow sheet. Filter Done = (Blanks) for the to-do list. Keys whose name continues a screen key are indented under it.</t>
  </si>
  <si>
    <t xml:space="preserve">Done</t>
  </si>
  <si>
    <t xml:space="preserve">Feature</t>
  </si>
  <si>
    <t xml:space="preserve">Key</t>
  </si>
  <si>
    <t xml:space="preserve">Type</t>
  </si>
  <si>
    <t xml:space="preserve">Firebase</t>
  </si>
  <si>
    <t xml:space="preserve">Amplitude</t>
  </si>
  <si>
    <t xml:space="preserve">Appsflyer</t>
  </si>
  <si>
    <t xml:space="preserve">MarketingCloud</t>
  </si>
  <si>
    <t xml:space="preserve">Evergage</t>
  </si>
  <si>
    <t xml:space="preserve">Parameters</t>
  </si>
  <si>
    <t xml:space="preserve">Documented in</t>
  </si>
  <si>
    <t xml:space="preserve">Notes</t>
  </si>
  <si>
    <t xml:space="preserve">Login</t>
  </si>
  <si>
    <t xml:space="preserve">visitLoginUser</t>
  </si>
  <si>
    <t xml:space="preserve">Screen</t>
  </si>
  <si>
    <t xml:space="preserve">LoginUserScreen</t>
  </si>
  <si>
    <t xml:space="preserve">login user viewed</t>
  </si>
  <si>
    <t xml:space="preserve">hitLoginUserNext</t>
  </si>
  <si>
    <t xml:space="preserve">Event · hit</t>
  </si>
  <si>
    <t xml:space="preserve">LoginUser_Next_Tapped</t>
  </si>
  <si>
    <t xml:space="preserve">login next clicked</t>
  </si>
  <si>
    <t xml:space="preserve">username_type, input_type</t>
  </si>
  <si>
    <t xml:space="preserve">hitForgotUsername</t>
  </si>
  <si>
    <t xml:space="preserve">LoginUser_ForgotUsername_Tapped</t>
  </si>
  <si>
    <t xml:space="preserve">visitLoginPassword</t>
  </si>
  <si>
    <t xml:space="preserve">LoginPasswordScreen</t>
  </si>
  <si>
    <t xml:space="preserve">hitLoginPassword</t>
  </si>
  <si>
    <t xml:space="preserve">LoginPassword_Masuk_Tapped</t>
  </si>
  <si>
    <t xml:space="preserve">successLogin</t>
  </si>
  <si>
    <t xml:space="preserve">Event · success</t>
  </si>
  <si>
    <t xml:space="preserve">Login_Success</t>
  </si>
  <si>
    <t xml:space="preserve">login success</t>
  </si>
  <si>
    <t xml:space="preserve">af_login</t>
  </si>
  <si>
    <t xml:space="preserve">LoginSuccess</t>
  </si>
  <si>
    <t xml:space="preserve">login_method</t>
  </si>
  <si>
    <t xml:space="preserve">Intro Biometric</t>
  </si>
  <si>
    <t xml:space="preserve">visitIntroBiometric</t>
  </si>
  <si>
    <t xml:space="preserve">IntroBiometricScreen</t>
  </si>
  <si>
    <t xml:space="preserve">hitBiometricActivate</t>
  </si>
  <si>
    <t xml:space="preserve">Intro_Biometric_Setup_Activate_Button_Tapped</t>
  </si>
  <si>
    <t xml:space="preserve">biometric activate clicked</t>
  </si>
  <si>
    <t xml:space="preserve">hitBiometricLater</t>
  </si>
  <si>
    <t xml:space="preserve">IntroBiometric_Later_Tapped</t>
  </si>
  <si>
    <t xml:space="preserve">Registration</t>
  </si>
  <si>
    <t xml:space="preserve">visitRegistrationForm</t>
  </si>
  <si>
    <t xml:space="preserve">RegistrationFormScreen</t>
  </si>
  <si>
    <t xml:space="preserve">hitRegistrationSubmit</t>
  </si>
  <si>
    <t xml:space="preserve">Registration_Submit_Tapped</t>
  </si>
  <si>
    <t xml:space="preserve">af_complete_registration</t>
  </si>
  <si>
    <t xml:space="preserve">registration_type, referral_code, af_registration_method</t>
  </si>
  <si>
    <t xml:space="preserve">Create Password</t>
  </si>
  <si>
    <t xml:space="preserve">visitCreatePassword</t>
  </si>
  <si>
    <t xml:space="preserve">CreatePasswordScreen</t>
  </si>
  <si>
    <t xml:space="preserve">Prelogin</t>
  </si>
  <si>
    <t xml:space="preserve">visitPreLoginBinded</t>
  </si>
  <si>
    <t xml:space="preserve">PreloginBindedScreen</t>
  </si>
  <si>
    <t xml:space="preserve">visitPreLoginUnbinded</t>
  </si>
  <si>
    <t xml:space="preserve">PreloginUnbindedScreen</t>
  </si>
  <si>
    <t xml:space="preserve">hitPreloginTransfer</t>
  </si>
  <si>
    <t xml:space="preserve">Prelogin_Transfer_Tapped</t>
  </si>
  <si>
    <t xml:space="preserve">hitPreloginTarikTunai</t>
  </si>
  <si>
    <t xml:space="preserve">Prelogin_TarikTunai_Tapped</t>
  </si>
  <si>
    <t xml:space="preserve">hitPreloginPinToken</t>
  </si>
  <si>
    <t xml:space="preserve">Prelogin_PINTokenIB_Tapped</t>
  </si>
  <si>
    <t xml:space="preserve">hitPreloginScanQR</t>
  </si>
  <si>
    <t xml:space="preserve">Prelogin_ScanQR_Tapped</t>
  </si>
  <si>
    <t xml:space="preserve">hitPreloginCarouselLink</t>
  </si>
  <si>
    <t xml:space="preserve">PreloginBinded_Carousel_Link_Tapped</t>
  </si>
  <si>
    <t xml:space="preserve">item_code</t>
  </si>
  <si>
    <t xml:space="preserve">hitPreloginLogin</t>
  </si>
  <si>
    <t xml:space="preserve">PreloginBinded_Login_Tapped</t>
  </si>
  <si>
    <t xml:space="preserve">hitPreloginLanguage</t>
  </si>
  <si>
    <t xml:space="preserve">Prelogin_Language_Tapped</t>
  </si>
  <si>
    <t xml:space="preserve">category_name</t>
  </si>
  <si>
    <t xml:space="preserve">hitPreloginLanguageItem</t>
  </si>
  <si>
    <t xml:space="preserve">Prelogin_Language_Item_Tapped</t>
  </si>
  <si>
    <t xml:space="preserve">item_code, category_name</t>
  </si>
  <si>
    <t xml:space="preserve">Dashboard</t>
  </si>
  <si>
    <t xml:space="preserve">visitDashboard</t>
  </si>
  <si>
    <t xml:space="preserve">DashboardScreen</t>
  </si>
  <si>
    <t xml:space="preserve">dashboard viewed</t>
  </si>
  <si>
    <t xml:space="preserve">hitDashboardTabHome</t>
  </si>
  <si>
    <t xml:space="preserve">Dashboard_Tab_Home_Tapped</t>
  </si>
  <si>
    <t xml:space="preserve">dashboard home clicked</t>
  </si>
  <si>
    <t xml:space="preserve">hitDashboardTabQr</t>
  </si>
  <si>
    <t xml:space="preserve">Dashboard_Tab_QR_Tapped</t>
  </si>
  <si>
    <t xml:space="preserve">dashboard qris clicked</t>
  </si>
  <si>
    <t xml:space="preserve">hitDashboardTabRewards</t>
  </si>
  <si>
    <t xml:space="preserve">Dashboard_Tab_Rewards_Tapped</t>
  </si>
  <si>
    <t xml:space="preserve">dashboard rewards clicked</t>
  </si>
  <si>
    <t xml:space="preserve">hitDashboardTabMore</t>
  </si>
  <si>
    <t xml:space="preserve">Dashboard_Tab_More_Tapped</t>
  </si>
  <si>
    <t xml:space="preserve">dashboard more clicked</t>
  </si>
  <si>
    <t xml:space="preserve">hitQuickMenuChange</t>
  </si>
  <si>
    <t xml:space="preserve">QuickMenu_Change_Clicked</t>
  </si>
  <si>
    <t xml:space="preserve">favorite quickmenu edit button clicked</t>
  </si>
  <si>
    <t xml:space="preserve">hitQuickMenu</t>
  </si>
  <si>
    <t xml:space="preserve">QuickMenu_Item_Clicked</t>
  </si>
  <si>
    <t xml:space="preserve">quickmenu clicked</t>
  </si>
  <si>
    <t xml:space="preserve">item_title, code, menu, is_favorite</t>
  </si>
  <si>
    <t xml:space="preserve">visitDashboardTaskListWidget</t>
  </si>
  <si>
    <t xml:space="preserve">Dashboard_TaskList_Widget_Shown</t>
  </si>
  <si>
    <t xml:space="preserve">More</t>
  </si>
  <si>
    <t xml:space="preserve">visitMoreScreen</t>
  </si>
  <si>
    <t xml:space="preserve">MoreScreen</t>
  </si>
  <si>
    <t xml:space="preserve">hitMoreMenu</t>
  </si>
  <si>
    <t xml:space="preserve">More_Menu_Item_Clicked</t>
  </si>
  <si>
    <t xml:space="preserve">item_title, code</t>
  </si>
  <si>
    <t xml:space="preserve">Transaction Receipt</t>
  </si>
  <si>
    <t xml:space="preserve">visitTransactionReceipt</t>
  </si>
  <si>
    <t xml:space="preserve">TransactionReceiptScreen</t>
  </si>
  <si>
    <t xml:space="preserve">transaction receipt</t>
  </si>
  <si>
    <t xml:space="preserve">TransactionReceipt%@%@%@Screen</t>
  </si>
  <si>
    <t xml:space="preserve">receipt_id, receipt_code, receipt_name, receipt_status, receipt_amount, item_type, transaction_id, evergageIdentifier, evergageCode, evergageType, evergageStatus</t>
  </si>
  <si>
    <t xml:space="preserve">hitShareReceipt</t>
  </si>
  <si>
    <t xml:space="preserve">TransactionReceipt_Share_Tapped</t>
  </si>
  <si>
    <t xml:space="preserve">Eazy Pro</t>
  </si>
  <si>
    <t xml:space="preserve">visitEazyProLifeInsured</t>
  </si>
  <si>
    <t xml:space="preserve">EazyProLife_Insured_Screen</t>
  </si>
  <si>
    <t xml:space="preserve">product_code</t>
  </si>
  <si>
    <t xml:space="preserve">hitEazyProLifeInsuredNext</t>
  </si>
  <si>
    <t xml:space="preserve">EazyProLife_Insured_Next_Tapped</t>
  </si>
  <si>
    <t xml:space="preserve">visitEazyProLifeInheritor</t>
  </si>
  <si>
    <t xml:space="preserve">EazyProLife_Inheritor_Screen</t>
  </si>
  <si>
    <t xml:space="preserve">hitAddInheritor</t>
  </si>
  <si>
    <t xml:space="preserve">EazyProLife_Add_Inheritor_Tapped</t>
  </si>
  <si>
    <t xml:space="preserve">Live Smart</t>
  </si>
  <si>
    <t xml:space="preserve">visitLiveSmartInputAmount</t>
  </si>
  <si>
    <t xml:space="preserve">LiveSmart_InputAmount_Screen</t>
  </si>
  <si>
    <t xml:space="preserve">Error</t>
  </si>
  <si>
    <t xml:space="preserve">visitError</t>
  </si>
  <si>
    <t xml:space="preserve">ErrorScreen</t>
  </si>
  <si>
    <t xml:space="preserve">error_code, error_message</t>
  </si>
  <si>
    <t xml:space="preserve">successAccountOnboarding</t>
  </si>
  <si>
    <t xml:space="preserve">Account_Onboarding_Success</t>
  </si>
  <si>
    <t xml:space="preserve">af_onboarding</t>
  </si>
  <si>
    <t xml:space="preserve">Call Waiting</t>
  </si>
  <si>
    <t xml:space="preserve">visitCallWaitingVideoVerification</t>
  </si>
  <si>
    <t xml:space="preserve">VideoVerification_Waiting_Screen</t>
  </si>
  <si>
    <t xml:space="preserve">Video Verification</t>
  </si>
  <si>
    <t xml:space="preserve">visitVideoVerificationScheduleDate</t>
  </si>
  <si>
    <t xml:space="preserve">VideoVerification_ScheduleDate_Screen</t>
  </si>
  <si>
    <t xml:space="preserve">visitVideoVerificationScheduleTime</t>
  </si>
  <si>
    <t xml:space="preserve">VideoVerification_ScheduleTime_Screen</t>
  </si>
  <si>
    <t xml:space="preserve">PROGRESS</t>
  </si>
  <si>
    <t xml:space="preserve">Counts ticks in SUMMARY. Updates automatically.</t>
  </si>
  <si>
    <t xml:space="preserve">Total</t>
  </si>
  <si>
    <t xml:space="preserve">Progress</t>
  </si>
  <si>
    <t xml:space="preserve">Screens</t>
  </si>
  <si>
    <t xml:space="preserve">Events</t>
  </si>
  <si>
    <t xml:space="preserve">All keys</t>
  </si>
  <si>
    <t xml:space="preserve">Screens done</t>
  </si>
  <si>
    <t xml:space="preserve">Events done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</si>
</sst>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433"/>
      <name val="Arial"/>
      <family val="0"/>
      <charset val="1"/>
    </font>
    <font>
      <sz val="10"/>
      <color rgb="FF3B4357"/>
      <name val="Arial"/>
      <family val="0"/>
      <charset val="1"/>
    </font>
    <font>
      <b val="true"/>
      <sz val="12"/>
      <color rgb="FF1E2433"/>
      <name val="Arial"/>
      <family val="0"/>
      <charset val="1"/>
    </font>
    <font>
      <b val="true"/>
      <sz val="10"/>
      <color rgb="FF5B6478"/>
      <name val="Arial"/>
      <family val="0"/>
      <charset val="1"/>
    </font>
    <font>
      <i val="true"/>
      <sz val="9"/>
      <color rgb="FF5B64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E2433"/>
      <name val="Arial"/>
      <family val="0"/>
      <charset val="1"/>
    </font>
    <font>
      <i val="true"/>
      <sz val="8"/>
      <color rgb="FFA0A7B4"/>
      <name val="Arial"/>
      <family val="0"/>
      <charset val="1"/>
    </font>
    <font>
      <b val="true"/>
      <sz val="10"/>
      <color rgb="FF1E2433"/>
      <name val="Arial"/>
      <family val="0"/>
      <charset val="1"/>
    </font>
    <font>
      <sz val="10"/>
      <color rgb="FF1E2433"/>
      <name val="Arial"/>
      <family val="0"/>
      <charset val="1"/>
    </font>
    <font>
      <b val="true"/>
      <sz val="16"/>
      <color rgb="FF1E2433"/>
      <name val="Arial"/>
      <family val="0"/>
      <charset val="1"/>
    </font>
    <font>
      <sz val="9"/>
      <color rgb="FF5B6478"/>
      <name val="Arial"/>
      <family val="0"/>
      <charset val="1"/>
    </font>
    <font>
      <sz val="12"/>
      <color rgb="FF1E243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8DB"/>
        <bgColor rgb="FFFFFFFF"/>
      </patternFill>
    </fill>
    <fill>
      <patternFill patternType="solid">
        <fgColor rgb="FF1E2433"/>
        <bgColor rgb="FF333300"/>
      </patternFill>
    </fill>
    <fill>
      <patternFill patternType="solid">
        <fgColor rgb="FFDCE3EE"/>
        <bgColor rgb="FFE3F5EB"/>
      </patternFill>
    </fill>
    <fill>
      <patternFill patternType="solid">
        <fgColor rgb="FFFFFFFF"/>
        <bgColor rgb="FFFFF8D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  <border diagonalUp="false" diagonalDown="false">
      <left style="thin">
        <color rgb="FFC9CED8"/>
      </left>
      <right/>
      <top style="medium">
        <color rgb="FF1E2433"/>
      </top>
      <bottom style="thin">
        <color rgb="FFC9CED8"/>
      </bottom>
      <diagonal/>
    </border>
    <border diagonalUp="false" diagonalDown="false">
      <left/>
      <right/>
      <top style="medium">
        <color rgb="FF1E2433"/>
      </top>
      <bottom style="thin">
        <color rgb="FFC9CED8"/>
      </bottom>
      <diagonal/>
    </border>
    <border diagonalUp="false" diagonalDown="false">
      <left/>
      <right style="thin">
        <color rgb="FFC9CED8"/>
      </right>
      <top style="medium">
        <color rgb="FF1E2433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2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433"/>
          <bgColor rgb="FF000000"/>
        </patternFill>
      </fill>
    </dxf>
    <dxf>
      <font>
        <name val="Arial"/>
        <charset val="1"/>
        <family val="0"/>
        <color rgb="FF1E7F4F"/>
      </font>
      <fill>
        <patternFill>
          <bgColor rgb="FFE3F5EB"/>
        </patternFill>
      </fill>
    </dxf>
    <dxf>
      <fill>
        <patternFill>
          <bgColor rgb="FFEEF2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4F"/>
      <rgbColor rgb="FFC0C0C0"/>
      <rgbColor rgb="FF808080"/>
      <rgbColor rgb="FF9999FF"/>
      <rgbColor rgb="FF993366"/>
      <rgbColor rgb="FFFFF8DB"/>
      <rgbColor rgb="FFE3F5EB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DCE3E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8"/>
      <rgbColor rgb="FFA0A7B4"/>
      <rgbColor rgb="FF003366"/>
      <rgbColor rgb="FF339966"/>
      <rgbColor rgb="FF003300"/>
      <rgbColor rgb="FF333300"/>
      <rgbColor rgb="FF993300"/>
      <rgbColor rgb="FF993366"/>
      <rgbColor rgb="FF3B4357"/>
      <rgbColor rgb="FF1E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gress" displayName="Progress" ref="A10:H23" headerRowCount="1" totalsRowCount="0" totalsRowShown="0">
  <autoFilter ref="A10:H23"/>
  <tableColumns count="8">
    <tableColumn id="1" name="Feature"/>
    <tableColumn id="2" name="Screens done"/>
    <tableColumn id="3" name="Screens"/>
    <tableColumn id="4" name="Events done"/>
    <tableColumn id="5" name="Events"/>
    <tableColumn id="6" name="Done"/>
    <tableColumn id="7" name="Total"/>
    <tableColumn id="8" name="Progress"/>
  </tableColumns>
</table>
</file>

<file path=xl/tables/table2.xml><?xml version="1.0" encoding="utf-8"?>
<table xmlns="http://schemas.openxmlformats.org/spreadsheetml/2006/main" id="2" name="Summary" displayName="Summary" ref="A4:L48" headerRowCount="1" totalsRowCount="0" totalsRowShown="0">
  <autoFilter ref="A4:L48"/>
  <tableColumns count="12">
    <tableColumn id="1" name="Done"/>
    <tableColumn id="2" name="Feature"/>
    <tableColumn id="3" name="Key"/>
    <tableColumn id="4" name="Type"/>
    <tableColumn id="5" name="Firebase"/>
    <tableColumn id="6" name="Amplitude"/>
    <tableColumn id="7" name="Appsflyer"/>
    <tableColumn id="8" name="MarketingCloud"/>
    <tableColumn id="9" name="Evergage"/>
    <tableColumn id="10" name="Parameters"/>
    <tableColumn id="11" name="Documented in"/>
    <tableColumn id="12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23.8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23.8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 t="s">
        <v>8</v>
      </c>
    </row>
    <row r="11" customFormat="false" ht="23.85" hidden="false" customHeight="false" outlineLevel="0" collapsed="false">
      <c r="B11" s="2" t="s">
        <v>9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10</v>
      </c>
    </row>
    <row r="14" customFormat="false" ht="23.85" hidden="false" customHeight="false" outlineLevel="0" collapsed="false">
      <c r="B14" s="2" t="s">
        <v>11</v>
      </c>
    </row>
    <row r="15" customFormat="false" ht="15" hidden="false" customHeight="false" outlineLevel="0" collapsed="false">
      <c r="B15" s="2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14</v>
      </c>
    </row>
    <row r="19" customFormat="false" ht="23.8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2" t="s">
        <v>16</v>
      </c>
    </row>
    <row r="21" customFormat="false" ht="15" hidden="false" customHeight="false" outlineLevel="0" collapsed="false">
      <c r="B21" s="2" t="s">
        <v>17</v>
      </c>
    </row>
    <row r="22" customFormat="false" ht="23.85" hidden="false" customHeight="false" outlineLevel="0" collapsed="false">
      <c r="B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5" min="4" style="0" width="30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4" t="s">
        <v>19</v>
      </c>
    </row>
    <row r="2" customFormat="false" ht="15" hidden="false" customHeight="false" outlineLevel="0" collapsed="false">
      <c r="A2" s="5" t="s">
        <v>20</v>
      </c>
      <c r="B2" s="6"/>
      <c r="C2" s="5" t="s">
        <v>21</v>
      </c>
      <c r="D2" s="6"/>
      <c r="E2" s="7" t="s">
        <v>22</v>
      </c>
    </row>
    <row r="4" customFormat="false" ht="25.5" hidden="false" customHeight="true" outlineLevel="0" collapsed="false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</row>
    <row r="5" customFormat="false" ht="24" hidden="false" customHeight="true" outlineLevel="0" collapsed="false">
      <c r="A5" s="9" t="s">
        <v>29</v>
      </c>
      <c r="B5" s="10"/>
      <c r="C5" s="10"/>
      <c r="D5" s="11" t="s">
        <v>30</v>
      </c>
      <c r="E5" s="12"/>
      <c r="F5" s="12"/>
    </row>
    <row r="6" customFormat="false" ht="30" hidden="false" customHeight="true" outlineLevel="0" collapsed="false">
      <c r="A6" s="13" t="s">
        <v>31</v>
      </c>
      <c r="B6" s="14"/>
      <c r="C6" s="15"/>
      <c r="D6" s="15"/>
      <c r="E6" s="15"/>
      <c r="F6" s="15"/>
    </row>
    <row r="7" customFormat="false" ht="30" hidden="false" customHeight="true" outlineLevel="0" collapsed="false">
      <c r="A7" s="13"/>
      <c r="B7" s="14"/>
      <c r="C7" s="15"/>
      <c r="D7" s="15"/>
      <c r="E7" s="15"/>
      <c r="F7" s="15"/>
    </row>
    <row r="8" customFormat="false" ht="30" hidden="false" customHeight="true" outlineLevel="0" collapsed="false">
      <c r="A8" s="13"/>
      <c r="B8" s="14"/>
      <c r="C8" s="15"/>
      <c r="D8" s="15"/>
      <c r="E8" s="15"/>
      <c r="F8" s="15"/>
    </row>
    <row r="9" customFormat="false" ht="30" hidden="false" customHeight="true" outlineLevel="0" collapsed="false">
      <c r="A9" s="13"/>
      <c r="B9" s="14"/>
      <c r="C9" s="15"/>
      <c r="D9" s="15"/>
      <c r="E9" s="15"/>
      <c r="F9" s="15"/>
    </row>
    <row r="10" customFormat="false" ht="30" hidden="false" customHeight="true" outlineLevel="0" collapsed="false">
      <c r="A10" s="13"/>
      <c r="B10" s="14"/>
      <c r="C10" s="15"/>
      <c r="D10" s="15"/>
      <c r="E10" s="15"/>
      <c r="F10" s="15"/>
    </row>
    <row r="11" customFormat="false" ht="30" hidden="false" customHeight="true" outlineLevel="0" collapsed="false">
      <c r="A11" s="13"/>
      <c r="B11" s="14"/>
      <c r="C11" s="15"/>
      <c r="D11" s="15"/>
      <c r="E11" s="15"/>
      <c r="F11" s="15"/>
    </row>
    <row r="12" customFormat="false" ht="30" hidden="false" customHeight="true" outlineLevel="0" collapsed="false">
      <c r="A12" s="13"/>
      <c r="B12" s="14"/>
      <c r="C12" s="15"/>
      <c r="D12" s="15"/>
      <c r="E12" s="15"/>
      <c r="F12" s="15"/>
    </row>
    <row r="13" customFormat="false" ht="30" hidden="false" customHeight="true" outlineLevel="0" collapsed="false">
      <c r="A13" s="13"/>
      <c r="B13" s="14"/>
      <c r="C13" s="15"/>
      <c r="D13" s="15"/>
      <c r="E13" s="15"/>
      <c r="F13" s="15"/>
    </row>
    <row r="14" customFormat="false" ht="9.75" hidden="false" customHeight="true" outlineLevel="0" collapsed="false"/>
    <row r="15" customFormat="false" ht="24" hidden="false" customHeight="true" outlineLevel="0" collapsed="false">
      <c r="A15" s="9" t="s">
        <v>32</v>
      </c>
      <c r="B15" s="10"/>
      <c r="C15" s="10"/>
      <c r="D15" s="11" t="s">
        <v>30</v>
      </c>
      <c r="E15" s="12"/>
      <c r="F15" s="12"/>
    </row>
    <row r="16" customFormat="false" ht="30" hidden="false" customHeight="true" outlineLevel="0" collapsed="false">
      <c r="A16" s="13" t="s">
        <v>31</v>
      </c>
      <c r="B16" s="14"/>
      <c r="C16" s="15"/>
      <c r="D16" s="15"/>
      <c r="E16" s="15"/>
      <c r="F16" s="15"/>
    </row>
    <row r="17" customFormat="false" ht="30" hidden="false" customHeight="true" outlineLevel="0" collapsed="false">
      <c r="A17" s="13"/>
      <c r="B17" s="14"/>
      <c r="C17" s="15"/>
      <c r="D17" s="15"/>
      <c r="E17" s="15"/>
      <c r="F17" s="15"/>
    </row>
    <row r="18" customFormat="false" ht="30" hidden="false" customHeight="true" outlineLevel="0" collapsed="false">
      <c r="A18" s="13"/>
      <c r="B18" s="14"/>
      <c r="C18" s="15"/>
      <c r="D18" s="15"/>
      <c r="E18" s="15"/>
      <c r="F18" s="15"/>
    </row>
    <row r="19" customFormat="false" ht="30" hidden="false" customHeight="true" outlineLevel="0" collapsed="false">
      <c r="A19" s="13"/>
      <c r="B19" s="14"/>
      <c r="C19" s="15"/>
      <c r="D19" s="15"/>
      <c r="E19" s="15"/>
      <c r="F19" s="15"/>
    </row>
    <row r="20" customFormat="false" ht="30" hidden="false" customHeight="true" outlineLevel="0" collapsed="false">
      <c r="A20" s="13"/>
      <c r="B20" s="14"/>
      <c r="C20" s="15"/>
      <c r="D20" s="15"/>
      <c r="E20" s="15"/>
      <c r="F20" s="15"/>
    </row>
    <row r="21" customFormat="false" ht="30" hidden="false" customHeight="true" outlineLevel="0" collapsed="false">
      <c r="A21" s="13"/>
      <c r="B21" s="14"/>
      <c r="C21" s="15"/>
      <c r="D21" s="15"/>
      <c r="E21" s="15"/>
      <c r="F21" s="15"/>
    </row>
    <row r="22" customFormat="false" ht="30" hidden="false" customHeight="true" outlineLevel="0" collapsed="false">
      <c r="A22" s="13"/>
      <c r="B22" s="14"/>
      <c r="C22" s="15"/>
      <c r="D22" s="15"/>
      <c r="E22" s="15"/>
      <c r="F22" s="15"/>
    </row>
    <row r="23" customFormat="false" ht="30" hidden="false" customHeight="true" outlineLevel="0" collapsed="false">
      <c r="A23" s="13"/>
      <c r="B23" s="14"/>
      <c r="C23" s="15"/>
      <c r="D23" s="15"/>
      <c r="E23" s="15"/>
      <c r="F23" s="15"/>
    </row>
    <row r="24" customFormat="false" ht="9.75" hidden="false" customHeight="true" outlineLevel="0" collapsed="false"/>
    <row r="25" customFormat="false" ht="24" hidden="false" customHeight="true" outlineLevel="0" collapsed="false">
      <c r="A25" s="9" t="s">
        <v>33</v>
      </c>
      <c r="B25" s="10"/>
      <c r="C25" s="10"/>
      <c r="D25" s="11" t="s">
        <v>30</v>
      </c>
      <c r="E25" s="12"/>
      <c r="F25" s="12"/>
    </row>
    <row r="26" customFormat="false" ht="30" hidden="false" customHeight="true" outlineLevel="0" collapsed="false">
      <c r="A26" s="13" t="s">
        <v>31</v>
      </c>
      <c r="B26" s="14"/>
      <c r="C26" s="15"/>
      <c r="D26" s="15"/>
      <c r="E26" s="15"/>
      <c r="F26" s="15"/>
    </row>
    <row r="27" customFormat="false" ht="30" hidden="false" customHeight="true" outlineLevel="0" collapsed="false">
      <c r="A27" s="13"/>
      <c r="B27" s="14"/>
      <c r="C27" s="15"/>
      <c r="D27" s="15"/>
      <c r="E27" s="15"/>
      <c r="F27" s="15"/>
    </row>
    <row r="28" customFormat="false" ht="30" hidden="false" customHeight="true" outlineLevel="0" collapsed="false">
      <c r="A28" s="13"/>
      <c r="B28" s="14"/>
      <c r="C28" s="15"/>
      <c r="D28" s="15"/>
      <c r="E28" s="15"/>
      <c r="F28" s="15"/>
    </row>
    <row r="29" customFormat="false" ht="30" hidden="false" customHeight="true" outlineLevel="0" collapsed="false">
      <c r="A29" s="13"/>
      <c r="B29" s="14"/>
      <c r="C29" s="15"/>
      <c r="D29" s="15"/>
      <c r="E29" s="15"/>
      <c r="F29" s="15"/>
    </row>
    <row r="30" customFormat="false" ht="30" hidden="false" customHeight="true" outlineLevel="0" collapsed="false">
      <c r="A30" s="13"/>
      <c r="B30" s="14"/>
      <c r="C30" s="15"/>
      <c r="D30" s="15"/>
      <c r="E30" s="15"/>
      <c r="F30" s="15"/>
    </row>
    <row r="31" customFormat="false" ht="30" hidden="false" customHeight="true" outlineLevel="0" collapsed="false">
      <c r="A31" s="13"/>
      <c r="B31" s="14"/>
      <c r="C31" s="15"/>
      <c r="D31" s="15"/>
      <c r="E31" s="15"/>
      <c r="F31" s="15"/>
    </row>
    <row r="32" customFormat="false" ht="30" hidden="false" customHeight="true" outlineLevel="0" collapsed="false">
      <c r="A32" s="13"/>
      <c r="B32" s="14"/>
      <c r="C32" s="15"/>
      <c r="D32" s="15"/>
      <c r="E32" s="15"/>
      <c r="F32" s="15"/>
    </row>
    <row r="33" customFormat="false" ht="30" hidden="false" customHeight="true" outlineLevel="0" collapsed="false">
      <c r="A33" s="13"/>
      <c r="B33" s="14"/>
      <c r="C33" s="15"/>
      <c r="D33" s="15"/>
      <c r="E33" s="15"/>
      <c r="F33" s="15"/>
    </row>
    <row r="34" customFormat="false" ht="9.75" hidden="false" customHeight="true" outlineLevel="0" collapsed="false"/>
    <row r="35" customFormat="false" ht="24" hidden="false" customHeight="true" outlineLevel="0" collapsed="false">
      <c r="A35" s="9" t="s">
        <v>34</v>
      </c>
      <c r="B35" s="10"/>
      <c r="C35" s="10"/>
      <c r="D35" s="11" t="s">
        <v>30</v>
      </c>
      <c r="E35" s="12"/>
      <c r="F35" s="12"/>
    </row>
    <row r="36" customFormat="false" ht="30" hidden="false" customHeight="true" outlineLevel="0" collapsed="false">
      <c r="A36" s="13" t="s">
        <v>31</v>
      </c>
      <c r="B36" s="14"/>
      <c r="C36" s="15"/>
      <c r="D36" s="15"/>
      <c r="E36" s="15"/>
      <c r="F36" s="15"/>
    </row>
    <row r="37" customFormat="false" ht="30" hidden="false" customHeight="true" outlineLevel="0" collapsed="false">
      <c r="A37" s="13"/>
      <c r="B37" s="14"/>
      <c r="C37" s="15"/>
      <c r="D37" s="15"/>
      <c r="E37" s="15"/>
      <c r="F37" s="15"/>
    </row>
    <row r="38" customFormat="false" ht="30" hidden="false" customHeight="true" outlineLevel="0" collapsed="false">
      <c r="A38" s="13"/>
      <c r="B38" s="14"/>
      <c r="C38" s="15"/>
      <c r="D38" s="15"/>
      <c r="E38" s="15"/>
      <c r="F38" s="15"/>
    </row>
    <row r="39" customFormat="false" ht="30" hidden="false" customHeight="true" outlineLevel="0" collapsed="false">
      <c r="A39" s="13"/>
      <c r="B39" s="14"/>
      <c r="C39" s="15"/>
      <c r="D39" s="15"/>
      <c r="E39" s="15"/>
      <c r="F39" s="15"/>
    </row>
    <row r="40" customFormat="false" ht="30" hidden="false" customHeight="true" outlineLevel="0" collapsed="false">
      <c r="A40" s="13"/>
      <c r="B40" s="14"/>
      <c r="C40" s="15"/>
      <c r="D40" s="15"/>
      <c r="E40" s="15"/>
      <c r="F40" s="15"/>
    </row>
    <row r="41" customFormat="false" ht="30" hidden="false" customHeight="true" outlineLevel="0" collapsed="false">
      <c r="A41" s="13"/>
      <c r="B41" s="14"/>
      <c r="C41" s="15"/>
      <c r="D41" s="15"/>
      <c r="E41" s="15"/>
      <c r="F41" s="15"/>
    </row>
    <row r="42" customFormat="false" ht="30" hidden="false" customHeight="true" outlineLevel="0" collapsed="false">
      <c r="A42" s="13"/>
      <c r="B42" s="14"/>
      <c r="C42" s="15"/>
      <c r="D42" s="15"/>
      <c r="E42" s="15"/>
      <c r="F42" s="15"/>
    </row>
    <row r="43" customFormat="false" ht="30" hidden="false" customHeight="true" outlineLevel="0" collapsed="false">
      <c r="A43" s="13"/>
      <c r="B43" s="14"/>
      <c r="C43" s="15"/>
      <c r="D43" s="15"/>
      <c r="E43" s="15"/>
      <c r="F43" s="15"/>
    </row>
    <row r="44" customFormat="false" ht="9.75" hidden="false" customHeight="true" outlineLevel="0" collapsed="false"/>
    <row r="45" customFormat="false" ht="24" hidden="false" customHeight="true" outlineLevel="0" collapsed="false">
      <c r="A45" s="9" t="s">
        <v>35</v>
      </c>
      <c r="B45" s="10"/>
      <c r="C45" s="10"/>
      <c r="D45" s="11" t="s">
        <v>30</v>
      </c>
      <c r="E45" s="12"/>
      <c r="F45" s="12"/>
    </row>
    <row r="46" customFormat="false" ht="30" hidden="false" customHeight="true" outlineLevel="0" collapsed="false">
      <c r="A46" s="13" t="s">
        <v>31</v>
      </c>
      <c r="B46" s="14"/>
      <c r="C46" s="15"/>
      <c r="D46" s="15"/>
      <c r="E46" s="15"/>
      <c r="F46" s="15"/>
    </row>
    <row r="47" customFormat="false" ht="30" hidden="false" customHeight="true" outlineLevel="0" collapsed="false">
      <c r="A47" s="13"/>
      <c r="B47" s="14"/>
      <c r="C47" s="15"/>
      <c r="D47" s="15"/>
      <c r="E47" s="15"/>
      <c r="F47" s="15"/>
    </row>
    <row r="48" customFormat="false" ht="30" hidden="false" customHeight="true" outlineLevel="0" collapsed="false">
      <c r="A48" s="13"/>
      <c r="B48" s="14"/>
      <c r="C48" s="15"/>
      <c r="D48" s="15"/>
      <c r="E48" s="15"/>
      <c r="F48" s="15"/>
    </row>
    <row r="49" customFormat="false" ht="30" hidden="false" customHeight="true" outlineLevel="0" collapsed="false">
      <c r="A49" s="13"/>
      <c r="B49" s="14"/>
      <c r="C49" s="15"/>
      <c r="D49" s="15"/>
      <c r="E49" s="15"/>
      <c r="F49" s="15"/>
    </row>
    <row r="50" customFormat="false" ht="30" hidden="false" customHeight="true" outlineLevel="0" collapsed="false">
      <c r="A50" s="13"/>
      <c r="B50" s="14"/>
      <c r="C50" s="15"/>
      <c r="D50" s="15"/>
      <c r="E50" s="15"/>
      <c r="F50" s="15"/>
    </row>
    <row r="51" customFormat="false" ht="30" hidden="false" customHeight="true" outlineLevel="0" collapsed="false">
      <c r="A51" s="13"/>
      <c r="B51" s="14"/>
      <c r="C51" s="15"/>
      <c r="D51" s="15"/>
      <c r="E51" s="15"/>
      <c r="F51" s="15"/>
    </row>
    <row r="52" customFormat="false" ht="30" hidden="false" customHeight="true" outlineLevel="0" collapsed="false">
      <c r="A52" s="13"/>
      <c r="B52" s="14"/>
      <c r="C52" s="15"/>
      <c r="D52" s="15"/>
      <c r="E52" s="15"/>
      <c r="F52" s="15"/>
    </row>
    <row r="53" customFormat="false" ht="30" hidden="false" customHeight="true" outlineLevel="0" collapsed="false">
      <c r="A53" s="13"/>
      <c r="B53" s="14"/>
      <c r="C53" s="15"/>
      <c r="D53" s="15"/>
      <c r="E53" s="15"/>
      <c r="F53" s="15"/>
    </row>
    <row r="54" customFormat="false" ht="9.75" hidden="false" customHeight="true" outlineLevel="0" collapsed="false"/>
    <row r="55" customFormat="false" ht="24" hidden="false" customHeight="true" outlineLevel="0" collapsed="false">
      <c r="A55" s="9" t="s">
        <v>36</v>
      </c>
      <c r="B55" s="10"/>
      <c r="C55" s="10"/>
      <c r="D55" s="11" t="s">
        <v>30</v>
      </c>
      <c r="E55" s="12"/>
      <c r="F55" s="12"/>
    </row>
    <row r="56" customFormat="false" ht="30" hidden="false" customHeight="true" outlineLevel="0" collapsed="false">
      <c r="A56" s="13" t="s">
        <v>31</v>
      </c>
      <c r="B56" s="14"/>
      <c r="C56" s="15"/>
      <c r="D56" s="15"/>
      <c r="E56" s="15"/>
      <c r="F56" s="15"/>
    </row>
    <row r="57" customFormat="false" ht="30" hidden="false" customHeight="true" outlineLevel="0" collapsed="false">
      <c r="A57" s="13"/>
      <c r="B57" s="14"/>
      <c r="C57" s="15"/>
      <c r="D57" s="15"/>
      <c r="E57" s="15"/>
      <c r="F57" s="15"/>
    </row>
    <row r="58" customFormat="false" ht="30" hidden="false" customHeight="true" outlineLevel="0" collapsed="false">
      <c r="A58" s="13"/>
      <c r="B58" s="14"/>
      <c r="C58" s="15"/>
      <c r="D58" s="15"/>
      <c r="E58" s="15"/>
      <c r="F58" s="15"/>
    </row>
    <row r="59" customFormat="false" ht="30" hidden="false" customHeight="true" outlineLevel="0" collapsed="false">
      <c r="A59" s="13"/>
      <c r="B59" s="14"/>
      <c r="C59" s="15"/>
      <c r="D59" s="15"/>
      <c r="E59" s="15"/>
      <c r="F59" s="15"/>
    </row>
    <row r="60" customFormat="false" ht="30" hidden="false" customHeight="true" outlineLevel="0" collapsed="false">
      <c r="A60" s="13"/>
      <c r="B60" s="14"/>
      <c r="C60" s="15"/>
      <c r="D60" s="15"/>
      <c r="E60" s="15"/>
      <c r="F60" s="15"/>
    </row>
    <row r="61" customFormat="false" ht="30" hidden="false" customHeight="true" outlineLevel="0" collapsed="false">
      <c r="A61" s="13"/>
      <c r="B61" s="14"/>
      <c r="C61" s="15"/>
      <c r="D61" s="15"/>
      <c r="E61" s="15"/>
      <c r="F61" s="15"/>
    </row>
    <row r="62" customFormat="false" ht="30" hidden="false" customHeight="true" outlineLevel="0" collapsed="false">
      <c r="A62" s="13"/>
      <c r="B62" s="14"/>
      <c r="C62" s="15"/>
      <c r="D62" s="15"/>
      <c r="E62" s="15"/>
      <c r="F62" s="15"/>
    </row>
    <row r="63" customFormat="false" ht="30" hidden="false" customHeight="true" outlineLevel="0" collapsed="false">
      <c r="A63" s="13"/>
      <c r="B63" s="14"/>
      <c r="C63" s="15"/>
      <c r="D63" s="15"/>
      <c r="E63" s="15"/>
      <c r="F63" s="15"/>
    </row>
    <row r="64" customFormat="false" ht="9.75" hidden="false" customHeight="true" outlineLevel="0" collapsed="false"/>
    <row r="65" customFormat="false" ht="24" hidden="false" customHeight="true" outlineLevel="0" collapsed="false">
      <c r="A65" s="9" t="s">
        <v>37</v>
      </c>
      <c r="B65" s="10"/>
      <c r="C65" s="10"/>
      <c r="D65" s="11" t="s">
        <v>30</v>
      </c>
      <c r="E65" s="12"/>
      <c r="F65" s="12"/>
    </row>
    <row r="66" customFormat="false" ht="30" hidden="false" customHeight="true" outlineLevel="0" collapsed="false">
      <c r="A66" s="13" t="s">
        <v>31</v>
      </c>
      <c r="B66" s="14"/>
      <c r="C66" s="15"/>
      <c r="D66" s="15"/>
      <c r="E66" s="15"/>
      <c r="F66" s="15"/>
    </row>
    <row r="67" customFormat="false" ht="30" hidden="false" customHeight="true" outlineLevel="0" collapsed="false">
      <c r="A67" s="13"/>
      <c r="B67" s="14"/>
      <c r="C67" s="15"/>
      <c r="D67" s="15"/>
      <c r="E67" s="15"/>
      <c r="F67" s="15"/>
    </row>
    <row r="68" customFormat="false" ht="30" hidden="false" customHeight="true" outlineLevel="0" collapsed="false">
      <c r="A68" s="13"/>
      <c r="B68" s="14"/>
      <c r="C68" s="15"/>
      <c r="D68" s="15"/>
      <c r="E68" s="15"/>
      <c r="F68" s="15"/>
    </row>
    <row r="69" customFormat="false" ht="30" hidden="false" customHeight="true" outlineLevel="0" collapsed="false">
      <c r="A69" s="13"/>
      <c r="B69" s="14"/>
      <c r="C69" s="15"/>
      <c r="D69" s="15"/>
      <c r="E69" s="15"/>
      <c r="F69" s="15"/>
    </row>
    <row r="70" customFormat="false" ht="30" hidden="false" customHeight="true" outlineLevel="0" collapsed="false">
      <c r="A70" s="13"/>
      <c r="B70" s="14"/>
      <c r="C70" s="15"/>
      <c r="D70" s="15"/>
      <c r="E70" s="15"/>
      <c r="F70" s="15"/>
    </row>
    <row r="71" customFormat="false" ht="30" hidden="false" customHeight="true" outlineLevel="0" collapsed="false">
      <c r="A71" s="13"/>
      <c r="B71" s="14"/>
      <c r="C71" s="15"/>
      <c r="D71" s="15"/>
      <c r="E71" s="15"/>
      <c r="F71" s="15"/>
    </row>
    <row r="72" customFormat="false" ht="30" hidden="false" customHeight="true" outlineLevel="0" collapsed="false">
      <c r="A72" s="13"/>
      <c r="B72" s="14"/>
      <c r="C72" s="15"/>
      <c r="D72" s="15"/>
      <c r="E72" s="15"/>
      <c r="F72" s="15"/>
    </row>
    <row r="73" customFormat="false" ht="30" hidden="false" customHeight="true" outlineLevel="0" collapsed="false">
      <c r="A73" s="13"/>
      <c r="B73" s="14"/>
      <c r="C73" s="15"/>
      <c r="D73" s="15"/>
      <c r="E73" s="15"/>
      <c r="F73" s="15"/>
    </row>
    <row r="74" customFormat="false" ht="9.75" hidden="false" customHeight="true" outlineLevel="0" collapsed="false"/>
    <row r="75" customFormat="false" ht="24" hidden="false" customHeight="true" outlineLevel="0" collapsed="false">
      <c r="A75" s="9" t="s">
        <v>38</v>
      </c>
      <c r="B75" s="10"/>
      <c r="C75" s="10"/>
      <c r="D75" s="11" t="s">
        <v>30</v>
      </c>
      <c r="E75" s="12"/>
      <c r="F75" s="12"/>
    </row>
    <row r="76" customFormat="false" ht="30" hidden="false" customHeight="true" outlineLevel="0" collapsed="false">
      <c r="A76" s="13" t="s">
        <v>31</v>
      </c>
      <c r="B76" s="14"/>
      <c r="C76" s="15"/>
      <c r="D76" s="15"/>
      <c r="E76" s="15"/>
      <c r="F76" s="15"/>
    </row>
    <row r="77" customFormat="false" ht="30" hidden="false" customHeight="true" outlineLevel="0" collapsed="false">
      <c r="A77" s="13"/>
      <c r="B77" s="14"/>
      <c r="C77" s="15"/>
      <c r="D77" s="15"/>
      <c r="E77" s="15"/>
      <c r="F77" s="15"/>
    </row>
    <row r="78" customFormat="false" ht="30" hidden="false" customHeight="true" outlineLevel="0" collapsed="false">
      <c r="A78" s="13"/>
      <c r="B78" s="14"/>
      <c r="C78" s="15"/>
      <c r="D78" s="15"/>
      <c r="E78" s="15"/>
      <c r="F78" s="15"/>
    </row>
    <row r="79" customFormat="false" ht="30" hidden="false" customHeight="true" outlineLevel="0" collapsed="false">
      <c r="A79" s="13"/>
      <c r="B79" s="14"/>
      <c r="C79" s="15"/>
      <c r="D79" s="15"/>
      <c r="E79" s="15"/>
      <c r="F79" s="15"/>
    </row>
    <row r="80" customFormat="false" ht="30" hidden="false" customHeight="true" outlineLevel="0" collapsed="false">
      <c r="A80" s="13"/>
      <c r="B80" s="14"/>
      <c r="C80" s="15"/>
      <c r="D80" s="15"/>
      <c r="E80" s="15"/>
      <c r="F80" s="15"/>
    </row>
    <row r="81" customFormat="false" ht="30" hidden="false" customHeight="true" outlineLevel="0" collapsed="false">
      <c r="A81" s="13"/>
      <c r="B81" s="14"/>
      <c r="C81" s="15"/>
      <c r="D81" s="15"/>
      <c r="E81" s="15"/>
      <c r="F81" s="15"/>
    </row>
    <row r="82" customFormat="false" ht="30" hidden="false" customHeight="true" outlineLevel="0" collapsed="false">
      <c r="A82" s="13"/>
      <c r="B82" s="14"/>
      <c r="C82" s="15"/>
      <c r="D82" s="15"/>
      <c r="E82" s="15"/>
      <c r="F82" s="15"/>
    </row>
    <row r="83" customFormat="false" ht="30" hidden="false" customHeight="true" outlineLevel="0" collapsed="false">
      <c r="A83" s="13"/>
      <c r="B83" s="14"/>
      <c r="C83" s="15"/>
      <c r="D83" s="15"/>
      <c r="E83" s="15"/>
      <c r="F83" s="15"/>
    </row>
    <row r="84" customFormat="false" ht="9.75" hidden="false" customHeight="true" outlineLevel="0" collapsed="false"/>
    <row r="85" customFormat="false" ht="24" hidden="false" customHeight="true" outlineLevel="0" collapsed="false">
      <c r="A85" s="9" t="s">
        <v>39</v>
      </c>
      <c r="B85" s="10"/>
      <c r="C85" s="10"/>
      <c r="D85" s="11" t="s">
        <v>30</v>
      </c>
      <c r="E85" s="12"/>
      <c r="F85" s="12"/>
    </row>
    <row r="86" customFormat="false" ht="30" hidden="false" customHeight="true" outlineLevel="0" collapsed="false">
      <c r="A86" s="13" t="s">
        <v>31</v>
      </c>
      <c r="B86" s="14"/>
      <c r="C86" s="15"/>
      <c r="D86" s="15"/>
      <c r="E86" s="15"/>
      <c r="F86" s="15"/>
    </row>
    <row r="87" customFormat="false" ht="30" hidden="false" customHeight="true" outlineLevel="0" collapsed="false">
      <c r="A87" s="13"/>
      <c r="B87" s="14"/>
      <c r="C87" s="15"/>
      <c r="D87" s="15"/>
      <c r="E87" s="15"/>
      <c r="F87" s="15"/>
    </row>
    <row r="88" customFormat="false" ht="30" hidden="false" customHeight="true" outlineLevel="0" collapsed="false">
      <c r="A88" s="13"/>
      <c r="B88" s="14"/>
      <c r="C88" s="15"/>
      <c r="D88" s="15"/>
      <c r="E88" s="15"/>
      <c r="F88" s="15"/>
    </row>
    <row r="89" customFormat="false" ht="30" hidden="false" customHeight="true" outlineLevel="0" collapsed="false">
      <c r="A89" s="13"/>
      <c r="B89" s="14"/>
      <c r="C89" s="15"/>
      <c r="D89" s="15"/>
      <c r="E89" s="15"/>
      <c r="F89" s="15"/>
    </row>
    <row r="90" customFormat="false" ht="30" hidden="false" customHeight="true" outlineLevel="0" collapsed="false">
      <c r="A90" s="13"/>
      <c r="B90" s="14"/>
      <c r="C90" s="15"/>
      <c r="D90" s="15"/>
      <c r="E90" s="15"/>
      <c r="F90" s="15"/>
    </row>
    <row r="91" customFormat="false" ht="30" hidden="false" customHeight="true" outlineLevel="0" collapsed="false">
      <c r="A91" s="13"/>
      <c r="B91" s="14"/>
      <c r="C91" s="15"/>
      <c r="D91" s="15"/>
      <c r="E91" s="15"/>
      <c r="F91" s="15"/>
    </row>
    <row r="92" customFormat="false" ht="30" hidden="false" customHeight="true" outlineLevel="0" collapsed="false">
      <c r="A92" s="13"/>
      <c r="B92" s="14"/>
      <c r="C92" s="15"/>
      <c r="D92" s="15"/>
      <c r="E92" s="15"/>
      <c r="F92" s="15"/>
    </row>
    <row r="93" customFormat="false" ht="30" hidden="false" customHeight="true" outlineLevel="0" collapsed="false">
      <c r="A93" s="13"/>
      <c r="B93" s="14"/>
      <c r="C93" s="15"/>
      <c r="D93" s="15"/>
      <c r="E93" s="15"/>
      <c r="F93" s="15"/>
    </row>
    <row r="94" customFormat="false" ht="9.75" hidden="false" customHeight="true" outlineLevel="0" collapsed="false"/>
    <row r="95" customFormat="false" ht="24" hidden="false" customHeight="true" outlineLevel="0" collapsed="false">
      <c r="A95" s="9" t="s">
        <v>40</v>
      </c>
      <c r="B95" s="10"/>
      <c r="C95" s="10"/>
      <c r="D95" s="11" t="s">
        <v>30</v>
      </c>
      <c r="E95" s="12"/>
      <c r="F95" s="12"/>
    </row>
    <row r="96" customFormat="false" ht="30" hidden="false" customHeight="true" outlineLevel="0" collapsed="false">
      <c r="A96" s="13" t="s">
        <v>31</v>
      </c>
      <c r="B96" s="14"/>
      <c r="C96" s="15"/>
      <c r="D96" s="15"/>
      <c r="E96" s="15"/>
      <c r="F96" s="15"/>
    </row>
    <row r="97" customFormat="false" ht="30" hidden="false" customHeight="true" outlineLevel="0" collapsed="false">
      <c r="A97" s="13"/>
      <c r="B97" s="14"/>
      <c r="C97" s="15"/>
      <c r="D97" s="15"/>
      <c r="E97" s="15"/>
      <c r="F97" s="15"/>
    </row>
    <row r="98" customFormat="false" ht="30" hidden="false" customHeight="true" outlineLevel="0" collapsed="false">
      <c r="A98" s="13"/>
      <c r="B98" s="14"/>
      <c r="C98" s="15"/>
      <c r="D98" s="15"/>
      <c r="E98" s="15"/>
      <c r="F98" s="15"/>
    </row>
    <row r="99" customFormat="false" ht="30" hidden="false" customHeight="true" outlineLevel="0" collapsed="false">
      <c r="A99" s="13"/>
      <c r="B99" s="14"/>
      <c r="C99" s="15"/>
      <c r="D99" s="15"/>
      <c r="E99" s="15"/>
      <c r="F99" s="15"/>
    </row>
    <row r="100" customFormat="false" ht="30" hidden="false" customHeight="true" outlineLevel="0" collapsed="false">
      <c r="A100" s="13"/>
      <c r="B100" s="14"/>
      <c r="C100" s="15"/>
      <c r="D100" s="15"/>
      <c r="E100" s="15"/>
      <c r="F100" s="15"/>
    </row>
    <row r="101" customFormat="false" ht="30" hidden="false" customHeight="true" outlineLevel="0" collapsed="false">
      <c r="A101" s="13"/>
      <c r="B101" s="14"/>
      <c r="C101" s="15"/>
      <c r="D101" s="15"/>
      <c r="E101" s="15"/>
      <c r="F101" s="15"/>
    </row>
    <row r="102" customFormat="false" ht="30" hidden="false" customHeight="true" outlineLevel="0" collapsed="false">
      <c r="A102" s="13"/>
      <c r="B102" s="14"/>
      <c r="C102" s="15"/>
      <c r="D102" s="15"/>
      <c r="E102" s="15"/>
      <c r="F102" s="15"/>
    </row>
    <row r="103" customFormat="false" ht="30" hidden="false" customHeight="true" outlineLevel="0" collapsed="false">
      <c r="A103" s="13"/>
      <c r="B103" s="14"/>
      <c r="C103" s="15"/>
      <c r="D103" s="15"/>
      <c r="E103" s="15"/>
      <c r="F103" s="15"/>
    </row>
    <row r="104" customFormat="false" ht="9.75" hidden="false" customHeight="true" outlineLevel="0" collapsed="false"/>
    <row r="105" customFormat="false" ht="24" hidden="false" customHeight="true" outlineLevel="0" collapsed="false">
      <c r="A105" s="9" t="s">
        <v>41</v>
      </c>
      <c r="B105" s="10"/>
      <c r="C105" s="10"/>
      <c r="D105" s="11" t="s">
        <v>30</v>
      </c>
      <c r="E105" s="12"/>
      <c r="F105" s="12"/>
    </row>
    <row r="106" customFormat="false" ht="30" hidden="false" customHeight="true" outlineLevel="0" collapsed="false">
      <c r="A106" s="13" t="s">
        <v>31</v>
      </c>
      <c r="B106" s="14"/>
      <c r="C106" s="15"/>
      <c r="D106" s="15"/>
      <c r="E106" s="15"/>
      <c r="F106" s="15"/>
    </row>
    <row r="107" customFormat="false" ht="30" hidden="false" customHeight="true" outlineLevel="0" collapsed="false">
      <c r="A107" s="13"/>
      <c r="B107" s="14"/>
      <c r="C107" s="15"/>
      <c r="D107" s="15"/>
      <c r="E107" s="15"/>
      <c r="F107" s="15"/>
    </row>
    <row r="108" customFormat="false" ht="30" hidden="false" customHeight="true" outlineLevel="0" collapsed="false">
      <c r="A108" s="13"/>
      <c r="B108" s="14"/>
      <c r="C108" s="15"/>
      <c r="D108" s="15"/>
      <c r="E108" s="15"/>
      <c r="F108" s="15"/>
    </row>
    <row r="109" customFormat="false" ht="30" hidden="false" customHeight="true" outlineLevel="0" collapsed="false">
      <c r="A109" s="13"/>
      <c r="B109" s="14"/>
      <c r="C109" s="15"/>
      <c r="D109" s="15"/>
      <c r="E109" s="15"/>
      <c r="F109" s="15"/>
    </row>
    <row r="110" customFormat="false" ht="30" hidden="false" customHeight="true" outlineLevel="0" collapsed="false">
      <c r="A110" s="13"/>
      <c r="B110" s="14"/>
      <c r="C110" s="15"/>
      <c r="D110" s="15"/>
      <c r="E110" s="15"/>
      <c r="F110" s="15"/>
    </row>
    <row r="111" customFormat="false" ht="30" hidden="false" customHeight="true" outlineLevel="0" collapsed="false">
      <c r="A111" s="13"/>
      <c r="B111" s="14"/>
      <c r="C111" s="15"/>
      <c r="D111" s="15"/>
      <c r="E111" s="15"/>
      <c r="F111" s="15"/>
    </row>
    <row r="112" customFormat="false" ht="30" hidden="false" customHeight="true" outlineLevel="0" collapsed="false">
      <c r="A112" s="13"/>
      <c r="B112" s="14"/>
      <c r="C112" s="15"/>
      <c r="D112" s="15"/>
      <c r="E112" s="15"/>
      <c r="F112" s="15"/>
    </row>
    <row r="113" customFormat="false" ht="30" hidden="false" customHeight="true" outlineLevel="0" collapsed="false">
      <c r="A113" s="13"/>
      <c r="B113" s="14"/>
      <c r="C113" s="15"/>
      <c r="D113" s="15"/>
      <c r="E113" s="15"/>
      <c r="F113" s="15"/>
    </row>
    <row r="114" customFormat="false" ht="9.75" hidden="false" customHeight="true" outlineLevel="0" collapsed="false"/>
    <row r="115" customFormat="false" ht="24" hidden="false" customHeight="true" outlineLevel="0" collapsed="false">
      <c r="A115" s="9" t="s">
        <v>42</v>
      </c>
      <c r="B115" s="10"/>
      <c r="C115" s="10"/>
      <c r="D115" s="11" t="s">
        <v>30</v>
      </c>
      <c r="E115" s="12"/>
      <c r="F115" s="12"/>
    </row>
    <row r="116" customFormat="false" ht="30" hidden="false" customHeight="true" outlineLevel="0" collapsed="false">
      <c r="A116" s="13" t="s">
        <v>31</v>
      </c>
      <c r="B116" s="14"/>
      <c r="C116" s="15"/>
      <c r="D116" s="15"/>
      <c r="E116" s="15"/>
      <c r="F116" s="15"/>
    </row>
    <row r="117" customFormat="false" ht="30" hidden="false" customHeight="true" outlineLevel="0" collapsed="false">
      <c r="A117" s="13"/>
      <c r="B117" s="14"/>
      <c r="C117" s="15"/>
      <c r="D117" s="15"/>
      <c r="E117" s="15"/>
      <c r="F117" s="15"/>
    </row>
    <row r="118" customFormat="false" ht="30" hidden="false" customHeight="true" outlineLevel="0" collapsed="false">
      <c r="A118" s="13"/>
      <c r="B118" s="14"/>
      <c r="C118" s="15"/>
      <c r="D118" s="15"/>
      <c r="E118" s="15"/>
      <c r="F118" s="15"/>
    </row>
    <row r="119" customFormat="false" ht="30" hidden="false" customHeight="true" outlineLevel="0" collapsed="false">
      <c r="A119" s="13"/>
      <c r="B119" s="14"/>
      <c r="C119" s="15"/>
      <c r="D119" s="15"/>
      <c r="E119" s="15"/>
      <c r="F119" s="15"/>
    </row>
    <row r="120" customFormat="false" ht="30" hidden="false" customHeight="true" outlineLevel="0" collapsed="false">
      <c r="A120" s="13"/>
      <c r="B120" s="14"/>
      <c r="C120" s="15"/>
      <c r="D120" s="15"/>
      <c r="E120" s="15"/>
      <c r="F120" s="15"/>
    </row>
    <row r="121" customFormat="false" ht="30" hidden="false" customHeight="true" outlineLevel="0" collapsed="false">
      <c r="A121" s="13"/>
      <c r="B121" s="14"/>
      <c r="C121" s="15"/>
      <c r="D121" s="15"/>
      <c r="E121" s="15"/>
      <c r="F121" s="15"/>
    </row>
    <row r="122" customFormat="false" ht="30" hidden="false" customHeight="true" outlineLevel="0" collapsed="false">
      <c r="A122" s="13"/>
      <c r="B122" s="14"/>
      <c r="C122" s="15"/>
      <c r="D122" s="15"/>
      <c r="E122" s="15"/>
      <c r="F122" s="15"/>
    </row>
    <row r="123" customFormat="false" ht="30" hidden="false" customHeight="true" outlineLevel="0" collapsed="false">
      <c r="A123" s="13"/>
      <c r="B123" s="14"/>
      <c r="C123" s="15"/>
      <c r="D123" s="15"/>
      <c r="E123" s="15"/>
      <c r="F123" s="15"/>
    </row>
    <row r="124" customFormat="false" ht="9.75" hidden="false" customHeight="true" outlineLevel="0" collapsed="false"/>
    <row r="125" customFormat="false" ht="24" hidden="false" customHeight="true" outlineLevel="0" collapsed="false">
      <c r="A125" s="9" t="s">
        <v>43</v>
      </c>
      <c r="B125" s="10"/>
      <c r="C125" s="10"/>
      <c r="D125" s="11" t="s">
        <v>30</v>
      </c>
      <c r="E125" s="12"/>
      <c r="F125" s="12"/>
    </row>
    <row r="126" customFormat="false" ht="30" hidden="false" customHeight="true" outlineLevel="0" collapsed="false">
      <c r="A126" s="13" t="s">
        <v>31</v>
      </c>
      <c r="B126" s="14"/>
      <c r="C126" s="15"/>
      <c r="D126" s="15"/>
      <c r="E126" s="15"/>
      <c r="F126" s="15"/>
    </row>
    <row r="127" customFormat="false" ht="30" hidden="false" customHeight="true" outlineLevel="0" collapsed="false">
      <c r="A127" s="13"/>
      <c r="B127" s="14"/>
      <c r="C127" s="15"/>
      <c r="D127" s="15"/>
      <c r="E127" s="15"/>
      <c r="F127" s="15"/>
    </row>
    <row r="128" customFormat="false" ht="30" hidden="false" customHeight="true" outlineLevel="0" collapsed="false">
      <c r="A128" s="13"/>
      <c r="B128" s="14"/>
      <c r="C128" s="15"/>
      <c r="D128" s="15"/>
      <c r="E128" s="15"/>
      <c r="F128" s="15"/>
    </row>
    <row r="129" customFormat="false" ht="30" hidden="false" customHeight="true" outlineLevel="0" collapsed="false">
      <c r="A129" s="13"/>
      <c r="B129" s="14"/>
      <c r="C129" s="15"/>
      <c r="D129" s="15"/>
      <c r="E129" s="15"/>
      <c r="F129" s="15"/>
    </row>
    <row r="130" customFormat="false" ht="30" hidden="false" customHeight="true" outlineLevel="0" collapsed="false">
      <c r="A130" s="13"/>
      <c r="B130" s="14"/>
      <c r="C130" s="15"/>
      <c r="D130" s="15"/>
      <c r="E130" s="15"/>
      <c r="F130" s="15"/>
    </row>
    <row r="131" customFormat="false" ht="30" hidden="false" customHeight="true" outlineLevel="0" collapsed="false">
      <c r="A131" s="13"/>
      <c r="B131" s="14"/>
      <c r="C131" s="15"/>
      <c r="D131" s="15"/>
      <c r="E131" s="15"/>
      <c r="F131" s="15"/>
    </row>
    <row r="132" customFormat="false" ht="30" hidden="false" customHeight="true" outlineLevel="0" collapsed="false">
      <c r="A132" s="13"/>
      <c r="B132" s="14"/>
      <c r="C132" s="15"/>
      <c r="D132" s="15"/>
      <c r="E132" s="15"/>
      <c r="F132" s="15"/>
    </row>
    <row r="133" customFormat="false" ht="30" hidden="false" customHeight="true" outlineLevel="0" collapsed="false">
      <c r="A133" s="13"/>
      <c r="B133" s="14"/>
      <c r="C133" s="15"/>
      <c r="D133" s="15"/>
      <c r="E133" s="15"/>
      <c r="F133" s="15"/>
    </row>
    <row r="134" customFormat="false" ht="9.75" hidden="false" customHeight="true" outlineLevel="0" collapsed="false"/>
    <row r="135" customFormat="false" ht="24" hidden="false" customHeight="true" outlineLevel="0" collapsed="false">
      <c r="A135" s="9" t="s">
        <v>44</v>
      </c>
      <c r="B135" s="10"/>
      <c r="C135" s="10"/>
      <c r="D135" s="11" t="s">
        <v>30</v>
      </c>
      <c r="E135" s="12"/>
      <c r="F135" s="12"/>
    </row>
    <row r="136" customFormat="false" ht="30" hidden="false" customHeight="true" outlineLevel="0" collapsed="false">
      <c r="A136" s="13" t="s">
        <v>31</v>
      </c>
      <c r="B136" s="14"/>
      <c r="C136" s="15"/>
      <c r="D136" s="15"/>
      <c r="E136" s="15"/>
      <c r="F136" s="15"/>
    </row>
    <row r="137" customFormat="false" ht="30" hidden="false" customHeight="true" outlineLevel="0" collapsed="false">
      <c r="A137" s="13"/>
      <c r="B137" s="14"/>
      <c r="C137" s="15"/>
      <c r="D137" s="15"/>
      <c r="E137" s="15"/>
      <c r="F137" s="15"/>
    </row>
    <row r="138" customFormat="false" ht="30" hidden="false" customHeight="true" outlineLevel="0" collapsed="false">
      <c r="A138" s="13"/>
      <c r="B138" s="14"/>
      <c r="C138" s="15"/>
      <c r="D138" s="15"/>
      <c r="E138" s="15"/>
      <c r="F138" s="15"/>
    </row>
    <row r="139" customFormat="false" ht="30" hidden="false" customHeight="true" outlineLevel="0" collapsed="false">
      <c r="A139" s="13"/>
      <c r="B139" s="14"/>
      <c r="C139" s="15"/>
      <c r="D139" s="15"/>
      <c r="E139" s="15"/>
      <c r="F139" s="15"/>
    </row>
    <row r="140" customFormat="false" ht="30" hidden="false" customHeight="true" outlineLevel="0" collapsed="false">
      <c r="A140" s="13"/>
      <c r="B140" s="14"/>
      <c r="C140" s="15"/>
      <c r="D140" s="15"/>
      <c r="E140" s="15"/>
      <c r="F140" s="15"/>
    </row>
    <row r="141" customFormat="false" ht="30" hidden="false" customHeight="true" outlineLevel="0" collapsed="false">
      <c r="A141" s="13"/>
      <c r="B141" s="14"/>
      <c r="C141" s="15"/>
      <c r="D141" s="15"/>
      <c r="E141" s="15"/>
      <c r="F141" s="15"/>
    </row>
    <row r="142" customFormat="false" ht="30" hidden="false" customHeight="true" outlineLevel="0" collapsed="false">
      <c r="A142" s="13"/>
      <c r="B142" s="14"/>
      <c r="C142" s="15"/>
      <c r="D142" s="15"/>
      <c r="E142" s="15"/>
      <c r="F142" s="15"/>
    </row>
    <row r="143" customFormat="false" ht="30" hidden="false" customHeight="true" outlineLevel="0" collapsed="false">
      <c r="A143" s="13"/>
      <c r="B143" s="14"/>
      <c r="C143" s="15"/>
      <c r="D143" s="15"/>
      <c r="E143" s="15"/>
      <c r="F143" s="15"/>
    </row>
    <row r="144" customFormat="false" ht="9.75" hidden="false" customHeight="true" outlineLevel="0" collapsed="false"/>
    <row r="145" customFormat="false" ht="24" hidden="false" customHeight="true" outlineLevel="0" collapsed="false">
      <c r="A145" s="9" t="s">
        <v>45</v>
      </c>
      <c r="B145" s="10"/>
      <c r="C145" s="10"/>
      <c r="D145" s="11" t="s">
        <v>30</v>
      </c>
      <c r="E145" s="12"/>
      <c r="F145" s="12"/>
    </row>
    <row r="146" customFormat="false" ht="30" hidden="false" customHeight="true" outlineLevel="0" collapsed="false">
      <c r="A146" s="13" t="s">
        <v>31</v>
      </c>
      <c r="B146" s="14"/>
      <c r="C146" s="15"/>
      <c r="D146" s="15"/>
      <c r="E146" s="15"/>
      <c r="F146" s="15"/>
    </row>
    <row r="147" customFormat="false" ht="30" hidden="false" customHeight="true" outlineLevel="0" collapsed="false">
      <c r="A147" s="13"/>
      <c r="B147" s="14"/>
      <c r="C147" s="15"/>
      <c r="D147" s="15"/>
      <c r="E147" s="15"/>
      <c r="F147" s="15"/>
    </row>
    <row r="148" customFormat="false" ht="30" hidden="false" customHeight="true" outlineLevel="0" collapsed="false">
      <c r="A148" s="13"/>
      <c r="B148" s="14"/>
      <c r="C148" s="15"/>
      <c r="D148" s="15"/>
      <c r="E148" s="15"/>
      <c r="F148" s="15"/>
    </row>
    <row r="149" customFormat="false" ht="30" hidden="false" customHeight="true" outlineLevel="0" collapsed="false">
      <c r="A149" s="13"/>
      <c r="B149" s="14"/>
      <c r="C149" s="15"/>
      <c r="D149" s="15"/>
      <c r="E149" s="15"/>
      <c r="F149" s="15"/>
    </row>
    <row r="150" customFormat="false" ht="30" hidden="false" customHeight="true" outlineLevel="0" collapsed="false">
      <c r="A150" s="13"/>
      <c r="B150" s="14"/>
      <c r="C150" s="15"/>
      <c r="D150" s="15"/>
      <c r="E150" s="15"/>
      <c r="F150" s="15"/>
    </row>
    <row r="151" customFormat="false" ht="30" hidden="false" customHeight="true" outlineLevel="0" collapsed="false">
      <c r="A151" s="13"/>
      <c r="B151" s="14"/>
      <c r="C151" s="15"/>
      <c r="D151" s="15"/>
      <c r="E151" s="15"/>
      <c r="F151" s="15"/>
    </row>
    <row r="152" customFormat="false" ht="30" hidden="false" customHeight="true" outlineLevel="0" collapsed="false">
      <c r="A152" s="13"/>
      <c r="B152" s="14"/>
      <c r="C152" s="15"/>
      <c r="D152" s="15"/>
      <c r="E152" s="15"/>
      <c r="F152" s="15"/>
    </row>
    <row r="153" customFormat="false" ht="30" hidden="false" customHeight="true" outlineLevel="0" collapsed="false">
      <c r="A153" s="13"/>
      <c r="B153" s="14"/>
      <c r="C153" s="15"/>
      <c r="D153" s="15"/>
      <c r="E153" s="15"/>
      <c r="F153" s="15"/>
    </row>
    <row r="154" customFormat="false" ht="9.75" hidden="false" customHeight="true" outlineLevel="0" collapsed="false"/>
    <row r="155" customFormat="false" ht="24" hidden="false" customHeight="true" outlineLevel="0" collapsed="false">
      <c r="A155" s="9" t="s">
        <v>46</v>
      </c>
      <c r="B155" s="10"/>
      <c r="C155" s="10"/>
      <c r="D155" s="11" t="s">
        <v>30</v>
      </c>
      <c r="E155" s="12"/>
      <c r="F155" s="12"/>
    </row>
    <row r="156" customFormat="false" ht="30" hidden="false" customHeight="true" outlineLevel="0" collapsed="false">
      <c r="A156" s="13" t="s">
        <v>31</v>
      </c>
      <c r="B156" s="14"/>
      <c r="C156" s="15"/>
      <c r="D156" s="15"/>
      <c r="E156" s="15"/>
      <c r="F156" s="15"/>
    </row>
    <row r="157" customFormat="false" ht="30" hidden="false" customHeight="true" outlineLevel="0" collapsed="false">
      <c r="A157" s="13"/>
      <c r="B157" s="14"/>
      <c r="C157" s="15"/>
      <c r="D157" s="15"/>
      <c r="E157" s="15"/>
      <c r="F157" s="15"/>
    </row>
    <row r="158" customFormat="false" ht="30" hidden="false" customHeight="true" outlineLevel="0" collapsed="false">
      <c r="A158" s="13"/>
      <c r="B158" s="14"/>
      <c r="C158" s="15"/>
      <c r="D158" s="15"/>
      <c r="E158" s="15"/>
      <c r="F158" s="15"/>
    </row>
    <row r="159" customFormat="false" ht="30" hidden="false" customHeight="true" outlineLevel="0" collapsed="false">
      <c r="A159" s="13"/>
      <c r="B159" s="14"/>
      <c r="C159" s="15"/>
      <c r="D159" s="15"/>
      <c r="E159" s="15"/>
      <c r="F159" s="15"/>
    </row>
    <row r="160" customFormat="false" ht="30" hidden="false" customHeight="true" outlineLevel="0" collapsed="false">
      <c r="A160" s="13"/>
      <c r="B160" s="14"/>
      <c r="C160" s="15"/>
      <c r="D160" s="15"/>
      <c r="E160" s="15"/>
      <c r="F160" s="15"/>
    </row>
    <row r="161" customFormat="false" ht="30" hidden="false" customHeight="true" outlineLevel="0" collapsed="false">
      <c r="A161" s="13"/>
      <c r="B161" s="14"/>
      <c r="C161" s="15"/>
      <c r="D161" s="15"/>
      <c r="E161" s="15"/>
      <c r="F161" s="15"/>
    </row>
    <row r="162" customFormat="false" ht="30" hidden="false" customHeight="true" outlineLevel="0" collapsed="false">
      <c r="A162" s="13"/>
      <c r="B162" s="14"/>
      <c r="C162" s="15"/>
      <c r="D162" s="15"/>
      <c r="E162" s="15"/>
      <c r="F162" s="15"/>
    </row>
    <row r="163" customFormat="false" ht="30" hidden="false" customHeight="true" outlineLevel="0" collapsed="false">
      <c r="A163" s="13"/>
      <c r="B163" s="14"/>
      <c r="C163" s="15"/>
      <c r="D163" s="15"/>
      <c r="E163" s="15"/>
      <c r="F163" s="15"/>
    </row>
    <row r="164" customFormat="false" ht="9.75" hidden="false" customHeight="true" outlineLevel="0" collapsed="false"/>
    <row r="165" customFormat="false" ht="24" hidden="false" customHeight="true" outlineLevel="0" collapsed="false">
      <c r="A165" s="9" t="s">
        <v>47</v>
      </c>
      <c r="B165" s="10"/>
      <c r="C165" s="10"/>
      <c r="D165" s="11" t="s">
        <v>30</v>
      </c>
      <c r="E165" s="12"/>
      <c r="F165" s="12"/>
    </row>
    <row r="166" customFormat="false" ht="30" hidden="false" customHeight="true" outlineLevel="0" collapsed="false">
      <c r="A166" s="13" t="s">
        <v>31</v>
      </c>
      <c r="B166" s="14"/>
      <c r="C166" s="15"/>
      <c r="D166" s="15"/>
      <c r="E166" s="15"/>
      <c r="F166" s="15"/>
    </row>
    <row r="167" customFormat="false" ht="30" hidden="false" customHeight="true" outlineLevel="0" collapsed="false">
      <c r="A167" s="13"/>
      <c r="B167" s="14"/>
      <c r="C167" s="15"/>
      <c r="D167" s="15"/>
      <c r="E167" s="15"/>
      <c r="F167" s="15"/>
    </row>
    <row r="168" customFormat="false" ht="30" hidden="false" customHeight="true" outlineLevel="0" collapsed="false">
      <c r="A168" s="13"/>
      <c r="B168" s="14"/>
      <c r="C168" s="15"/>
      <c r="D168" s="15"/>
      <c r="E168" s="15"/>
      <c r="F168" s="15"/>
    </row>
    <row r="169" customFormat="false" ht="30" hidden="false" customHeight="true" outlineLevel="0" collapsed="false">
      <c r="A169" s="13"/>
      <c r="B169" s="14"/>
      <c r="C169" s="15"/>
      <c r="D169" s="15"/>
      <c r="E169" s="15"/>
      <c r="F169" s="15"/>
    </row>
    <row r="170" customFormat="false" ht="30" hidden="false" customHeight="true" outlineLevel="0" collapsed="false">
      <c r="A170" s="13"/>
      <c r="B170" s="14"/>
      <c r="C170" s="15"/>
      <c r="D170" s="15"/>
      <c r="E170" s="15"/>
      <c r="F170" s="15"/>
    </row>
    <row r="171" customFormat="false" ht="30" hidden="false" customHeight="true" outlineLevel="0" collapsed="false">
      <c r="A171" s="13"/>
      <c r="B171" s="14"/>
      <c r="C171" s="15"/>
      <c r="D171" s="15"/>
      <c r="E171" s="15"/>
      <c r="F171" s="15"/>
    </row>
    <row r="172" customFormat="false" ht="30" hidden="false" customHeight="true" outlineLevel="0" collapsed="false">
      <c r="A172" s="13"/>
      <c r="B172" s="14"/>
      <c r="C172" s="15"/>
      <c r="D172" s="15"/>
      <c r="E172" s="15"/>
      <c r="F172" s="15"/>
    </row>
    <row r="173" customFormat="false" ht="30" hidden="false" customHeight="true" outlineLevel="0" collapsed="false">
      <c r="A173" s="13"/>
      <c r="B173" s="14"/>
      <c r="C173" s="15"/>
      <c r="D173" s="15"/>
      <c r="E173" s="15"/>
      <c r="F173" s="15"/>
    </row>
    <row r="174" customFormat="false" ht="9.75" hidden="false" customHeight="true" outlineLevel="0" collapsed="false"/>
    <row r="175" customFormat="false" ht="24" hidden="false" customHeight="true" outlineLevel="0" collapsed="false">
      <c r="A175" s="9" t="s">
        <v>48</v>
      </c>
      <c r="B175" s="10"/>
      <c r="C175" s="10"/>
      <c r="D175" s="11" t="s">
        <v>30</v>
      </c>
      <c r="E175" s="12"/>
      <c r="F175" s="12"/>
    </row>
    <row r="176" customFormat="false" ht="30" hidden="false" customHeight="true" outlineLevel="0" collapsed="false">
      <c r="A176" s="13" t="s">
        <v>31</v>
      </c>
      <c r="B176" s="14"/>
      <c r="C176" s="15"/>
      <c r="D176" s="15"/>
      <c r="E176" s="15"/>
      <c r="F176" s="15"/>
    </row>
    <row r="177" customFormat="false" ht="30" hidden="false" customHeight="true" outlineLevel="0" collapsed="false">
      <c r="A177" s="13"/>
      <c r="B177" s="14"/>
      <c r="C177" s="15"/>
      <c r="D177" s="15"/>
      <c r="E177" s="15"/>
      <c r="F177" s="15"/>
    </row>
    <row r="178" customFormat="false" ht="30" hidden="false" customHeight="true" outlineLevel="0" collapsed="false">
      <c r="A178" s="13"/>
      <c r="B178" s="14"/>
      <c r="C178" s="15"/>
      <c r="D178" s="15"/>
      <c r="E178" s="15"/>
      <c r="F178" s="15"/>
    </row>
    <row r="179" customFormat="false" ht="30" hidden="false" customHeight="true" outlineLevel="0" collapsed="false">
      <c r="A179" s="13"/>
      <c r="B179" s="14"/>
      <c r="C179" s="15"/>
      <c r="D179" s="15"/>
      <c r="E179" s="15"/>
      <c r="F179" s="15"/>
    </row>
    <row r="180" customFormat="false" ht="30" hidden="false" customHeight="true" outlineLevel="0" collapsed="false">
      <c r="A180" s="13"/>
      <c r="B180" s="14"/>
      <c r="C180" s="15"/>
      <c r="D180" s="15"/>
      <c r="E180" s="15"/>
      <c r="F180" s="15"/>
    </row>
    <row r="181" customFormat="false" ht="30" hidden="false" customHeight="true" outlineLevel="0" collapsed="false">
      <c r="A181" s="13"/>
      <c r="B181" s="14"/>
      <c r="C181" s="15"/>
      <c r="D181" s="15"/>
      <c r="E181" s="15"/>
      <c r="F181" s="15"/>
    </row>
    <row r="182" customFormat="false" ht="30" hidden="false" customHeight="true" outlineLevel="0" collapsed="false">
      <c r="A182" s="13"/>
      <c r="B182" s="14"/>
      <c r="C182" s="15"/>
      <c r="D182" s="15"/>
      <c r="E182" s="15"/>
      <c r="F182" s="15"/>
    </row>
    <row r="183" customFormat="false" ht="30" hidden="false" customHeight="true" outlineLevel="0" collapsed="false">
      <c r="A183" s="13"/>
      <c r="B183" s="14"/>
      <c r="C183" s="15"/>
      <c r="D183" s="15"/>
      <c r="E183" s="15"/>
      <c r="F183" s="15"/>
    </row>
    <row r="184" customFormat="false" ht="9.75" hidden="false" customHeight="true" outlineLevel="0" collapsed="false"/>
    <row r="185" customFormat="false" ht="24" hidden="false" customHeight="true" outlineLevel="0" collapsed="false">
      <c r="A185" s="9" t="s">
        <v>49</v>
      </c>
      <c r="B185" s="10"/>
      <c r="C185" s="10"/>
      <c r="D185" s="11" t="s">
        <v>30</v>
      </c>
      <c r="E185" s="12"/>
      <c r="F185" s="12"/>
    </row>
    <row r="186" customFormat="false" ht="30" hidden="false" customHeight="true" outlineLevel="0" collapsed="false">
      <c r="A186" s="13" t="s">
        <v>31</v>
      </c>
      <c r="B186" s="14"/>
      <c r="C186" s="15"/>
      <c r="D186" s="15"/>
      <c r="E186" s="15"/>
      <c r="F186" s="15"/>
    </row>
    <row r="187" customFormat="false" ht="30" hidden="false" customHeight="true" outlineLevel="0" collapsed="false">
      <c r="A187" s="13"/>
      <c r="B187" s="14"/>
      <c r="C187" s="15"/>
      <c r="D187" s="15"/>
      <c r="E187" s="15"/>
      <c r="F187" s="15"/>
    </row>
    <row r="188" customFormat="false" ht="30" hidden="false" customHeight="true" outlineLevel="0" collapsed="false">
      <c r="A188" s="13"/>
      <c r="B188" s="14"/>
      <c r="C188" s="15"/>
      <c r="D188" s="15"/>
      <c r="E188" s="15"/>
      <c r="F188" s="15"/>
    </row>
    <row r="189" customFormat="false" ht="30" hidden="false" customHeight="true" outlineLevel="0" collapsed="false">
      <c r="A189" s="13"/>
      <c r="B189" s="14"/>
      <c r="C189" s="15"/>
      <c r="D189" s="15"/>
      <c r="E189" s="15"/>
      <c r="F189" s="15"/>
    </row>
    <row r="190" customFormat="false" ht="30" hidden="false" customHeight="true" outlineLevel="0" collapsed="false">
      <c r="A190" s="13"/>
      <c r="B190" s="14"/>
      <c r="C190" s="15"/>
      <c r="D190" s="15"/>
      <c r="E190" s="15"/>
      <c r="F190" s="15"/>
    </row>
    <row r="191" customFormat="false" ht="30" hidden="false" customHeight="true" outlineLevel="0" collapsed="false">
      <c r="A191" s="13"/>
      <c r="B191" s="14"/>
      <c r="C191" s="15"/>
      <c r="D191" s="15"/>
      <c r="E191" s="15"/>
      <c r="F191" s="15"/>
    </row>
    <row r="192" customFormat="false" ht="30" hidden="false" customHeight="true" outlineLevel="0" collapsed="false">
      <c r="A192" s="13"/>
      <c r="B192" s="14"/>
      <c r="C192" s="15"/>
      <c r="D192" s="15"/>
      <c r="E192" s="15"/>
      <c r="F192" s="15"/>
    </row>
    <row r="193" customFormat="false" ht="30" hidden="false" customHeight="true" outlineLevel="0" collapsed="false">
      <c r="A193" s="13"/>
      <c r="B193" s="14"/>
      <c r="C193" s="15"/>
      <c r="D193" s="15"/>
      <c r="E193" s="15"/>
      <c r="F193" s="15"/>
    </row>
    <row r="194" customFormat="false" ht="9.75" hidden="false" customHeight="true" outlineLevel="0" collapsed="false"/>
    <row r="195" customFormat="false" ht="24" hidden="false" customHeight="true" outlineLevel="0" collapsed="false">
      <c r="A195" s="9" t="s">
        <v>50</v>
      </c>
      <c r="B195" s="10"/>
      <c r="C195" s="10"/>
      <c r="D195" s="11" t="s">
        <v>30</v>
      </c>
      <c r="E195" s="12"/>
      <c r="F195" s="12"/>
    </row>
    <row r="196" customFormat="false" ht="30" hidden="false" customHeight="true" outlineLevel="0" collapsed="false">
      <c r="A196" s="13" t="s">
        <v>31</v>
      </c>
      <c r="B196" s="14"/>
      <c r="C196" s="15"/>
      <c r="D196" s="15"/>
      <c r="E196" s="15"/>
      <c r="F196" s="15"/>
    </row>
    <row r="197" customFormat="false" ht="30" hidden="false" customHeight="true" outlineLevel="0" collapsed="false">
      <c r="A197" s="13"/>
      <c r="B197" s="14"/>
      <c r="C197" s="15"/>
      <c r="D197" s="15"/>
      <c r="E197" s="15"/>
      <c r="F197" s="15"/>
    </row>
    <row r="198" customFormat="false" ht="30" hidden="false" customHeight="true" outlineLevel="0" collapsed="false">
      <c r="A198" s="13"/>
      <c r="B198" s="14"/>
      <c r="C198" s="15"/>
      <c r="D198" s="15"/>
      <c r="E198" s="15"/>
      <c r="F198" s="15"/>
    </row>
    <row r="199" customFormat="false" ht="30" hidden="false" customHeight="true" outlineLevel="0" collapsed="false">
      <c r="A199" s="13"/>
      <c r="B199" s="14"/>
      <c r="C199" s="15"/>
      <c r="D199" s="15"/>
      <c r="E199" s="15"/>
      <c r="F199" s="15"/>
    </row>
    <row r="200" customFormat="false" ht="30" hidden="false" customHeight="true" outlineLevel="0" collapsed="false">
      <c r="A200" s="13"/>
      <c r="B200" s="14"/>
      <c r="C200" s="15"/>
      <c r="D200" s="15"/>
      <c r="E200" s="15"/>
      <c r="F200" s="15"/>
    </row>
    <row r="201" customFormat="false" ht="30" hidden="false" customHeight="true" outlineLevel="0" collapsed="false">
      <c r="A201" s="13"/>
      <c r="B201" s="14"/>
      <c r="C201" s="15"/>
      <c r="D201" s="15"/>
      <c r="E201" s="15"/>
      <c r="F201" s="15"/>
    </row>
    <row r="202" customFormat="false" ht="30" hidden="false" customHeight="true" outlineLevel="0" collapsed="false">
      <c r="A202" s="13"/>
      <c r="B202" s="14"/>
      <c r="C202" s="15"/>
      <c r="D202" s="15"/>
      <c r="E202" s="15"/>
      <c r="F202" s="15"/>
    </row>
    <row r="203" customFormat="false" ht="30" hidden="false" customHeight="true" outlineLevel="0" collapsed="false">
      <c r="A203" s="13"/>
      <c r="B203" s="14"/>
      <c r="C203" s="15"/>
      <c r="D203" s="15"/>
      <c r="E203" s="15"/>
      <c r="F203" s="15"/>
    </row>
    <row r="204" customFormat="false" ht="9.75" hidden="false" customHeight="true" outlineLevel="0" collapsed="false"/>
  </sheetData>
  <mergeCells count="60">
    <mergeCell ref="B5:C5"/>
    <mergeCell ref="E5:F5"/>
    <mergeCell ref="A6:A13"/>
    <mergeCell ref="B15:C15"/>
    <mergeCell ref="E15:F15"/>
    <mergeCell ref="A16:A23"/>
    <mergeCell ref="B25:C25"/>
    <mergeCell ref="E25:F25"/>
    <mergeCell ref="A26:A33"/>
    <mergeCell ref="B35:C35"/>
    <mergeCell ref="E35:F35"/>
    <mergeCell ref="A36:A43"/>
    <mergeCell ref="B45:C45"/>
    <mergeCell ref="E45:F45"/>
    <mergeCell ref="A46:A53"/>
    <mergeCell ref="B55:C55"/>
    <mergeCell ref="E55:F55"/>
    <mergeCell ref="A56:A63"/>
    <mergeCell ref="B65:C65"/>
    <mergeCell ref="E65:F65"/>
    <mergeCell ref="A66:A73"/>
    <mergeCell ref="B75:C75"/>
    <mergeCell ref="E75:F75"/>
    <mergeCell ref="A76:A83"/>
    <mergeCell ref="B85:C85"/>
    <mergeCell ref="E85:F85"/>
    <mergeCell ref="A86:A93"/>
    <mergeCell ref="B95:C95"/>
    <mergeCell ref="E95:F95"/>
    <mergeCell ref="A96:A103"/>
    <mergeCell ref="B105:C105"/>
    <mergeCell ref="E105:F105"/>
    <mergeCell ref="A106:A113"/>
    <mergeCell ref="B115:C115"/>
    <mergeCell ref="E115:F115"/>
    <mergeCell ref="A116:A123"/>
    <mergeCell ref="B125:C125"/>
    <mergeCell ref="E125:F125"/>
    <mergeCell ref="A126:A133"/>
    <mergeCell ref="B135:C135"/>
    <mergeCell ref="E135:F135"/>
    <mergeCell ref="A136:A143"/>
    <mergeCell ref="B145:C145"/>
    <mergeCell ref="E145:F145"/>
    <mergeCell ref="A146:A153"/>
    <mergeCell ref="B155:C155"/>
    <mergeCell ref="E155:F155"/>
    <mergeCell ref="A156:A163"/>
    <mergeCell ref="B165:C165"/>
    <mergeCell ref="E165:F165"/>
    <mergeCell ref="A166:A173"/>
    <mergeCell ref="B175:C175"/>
    <mergeCell ref="E175:F175"/>
    <mergeCell ref="A176:A183"/>
    <mergeCell ref="B185:C185"/>
    <mergeCell ref="E185:F185"/>
    <mergeCell ref="A186:A193"/>
    <mergeCell ref="B195:C195"/>
    <mergeCell ref="E195:F195"/>
    <mergeCell ref="A196:A203"/>
  </mergeCells>
  <dataValidations count="1">
    <dataValidation allowBlank="true" errorStyle="stop" operator="between" prompt="Pick a tracker or type one" promptTitle="EVENT TYPE" showDropDown="false" showErrorMessage="false" showInputMessage="true" sqref="B6:B13 B16:B23 B26:B33 B36:B43 B46:B53 B56:B63 B66:B73 B76:B83 B86:B93 B96:B103 B106:B113 B116:B123 B126:B133 B136:B143 B146:B153 B156:B163 B166:B173 B176:B183 B186:B193 B196:B203" type="list">
      <formula1>"Firebase,Amplitude,Appsflyer,MarketingCloud,Evergage"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9" min="5" style="0" width="34"/>
    <col collapsed="false" customWidth="true" hidden="false" outlineLevel="0" max="10" min="10" style="0" width="30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6" t="s">
        <v>51</v>
      </c>
    </row>
    <row r="2" customFormat="false" ht="15" hidden="false" customHeight="false" outlineLevel="0" collapsed="false">
      <c r="A2" s="17" t="s">
        <v>52</v>
      </c>
    </row>
    <row r="4" customFormat="false" ht="15" hidden="false" customHeight="false" outlineLevel="0" collapsed="false">
      <c r="A4" s="18" t="s">
        <v>53</v>
      </c>
      <c r="B4" s="18" t="s">
        <v>54</v>
      </c>
      <c r="C4" s="18" t="s">
        <v>55</v>
      </c>
      <c r="D4" s="18" t="s">
        <v>56</v>
      </c>
      <c r="E4" s="18" t="s">
        <v>57</v>
      </c>
      <c r="F4" s="18" t="s">
        <v>58</v>
      </c>
      <c r="G4" s="18" t="s">
        <v>59</v>
      </c>
      <c r="H4" s="18" t="s">
        <v>60</v>
      </c>
      <c r="I4" s="18" t="s">
        <v>61</v>
      </c>
      <c r="J4" s="18" t="s">
        <v>62</v>
      </c>
      <c r="K4" s="18" t="s">
        <v>63</v>
      </c>
      <c r="L4" s="18" t="s">
        <v>64</v>
      </c>
    </row>
    <row r="5" customFormat="false" ht="15" hidden="false" customHeight="false" outlineLevel="0" collapsed="false">
      <c r="A5" s="19"/>
      <c r="B5" s="20" t="s">
        <v>65</v>
      </c>
      <c r="C5" s="21" t="s">
        <v>66</v>
      </c>
      <c r="D5" s="21" t="s">
        <v>67</v>
      </c>
      <c r="E5" s="22" t="s">
        <v>68</v>
      </c>
      <c r="F5" s="22" t="s">
        <v>69</v>
      </c>
      <c r="G5" s="22"/>
      <c r="H5" s="22"/>
      <c r="I5" s="22"/>
      <c r="J5" s="22"/>
      <c r="K5" s="22"/>
      <c r="L5" s="22"/>
    </row>
    <row r="6" customFormat="false" ht="15" hidden="false" customHeight="false" outlineLevel="0" collapsed="false">
      <c r="A6" s="19"/>
      <c r="B6" s="20" t="s">
        <v>65</v>
      </c>
      <c r="C6" s="23" t="s">
        <v>70</v>
      </c>
      <c r="D6" s="20" t="s">
        <v>71</v>
      </c>
      <c r="E6" s="22" t="s">
        <v>72</v>
      </c>
      <c r="F6" s="22" t="s">
        <v>73</v>
      </c>
      <c r="G6" s="22"/>
      <c r="H6" s="22"/>
      <c r="I6" s="22"/>
      <c r="J6" s="22" t="s">
        <v>74</v>
      </c>
      <c r="K6" s="22"/>
      <c r="L6" s="22"/>
    </row>
    <row r="7" customFormat="false" ht="15" hidden="false" customHeight="false" outlineLevel="0" collapsed="false">
      <c r="A7" s="19"/>
      <c r="B7" s="20" t="s">
        <v>65</v>
      </c>
      <c r="C7" s="23" t="s">
        <v>75</v>
      </c>
      <c r="D7" s="20" t="s">
        <v>71</v>
      </c>
      <c r="E7" s="22" t="s">
        <v>76</v>
      </c>
      <c r="F7" s="22"/>
      <c r="G7" s="22"/>
      <c r="H7" s="22"/>
      <c r="I7" s="22"/>
      <c r="J7" s="22"/>
      <c r="K7" s="22"/>
      <c r="L7" s="22"/>
    </row>
    <row r="8" customFormat="false" ht="15" hidden="false" customHeight="false" outlineLevel="0" collapsed="false">
      <c r="A8" s="19"/>
      <c r="B8" s="20" t="s">
        <v>65</v>
      </c>
      <c r="C8" s="21" t="s">
        <v>77</v>
      </c>
      <c r="D8" s="21" t="s">
        <v>67</v>
      </c>
      <c r="E8" s="22" t="s">
        <v>78</v>
      </c>
      <c r="F8" s="22"/>
      <c r="G8" s="22"/>
      <c r="H8" s="22"/>
      <c r="I8" s="22"/>
      <c r="J8" s="22"/>
      <c r="K8" s="22"/>
      <c r="L8" s="22"/>
    </row>
    <row r="9" customFormat="false" ht="15" hidden="false" customHeight="false" outlineLevel="0" collapsed="false">
      <c r="A9" s="19"/>
      <c r="B9" s="20" t="s">
        <v>65</v>
      </c>
      <c r="C9" s="23" t="s">
        <v>79</v>
      </c>
      <c r="D9" s="20" t="s">
        <v>71</v>
      </c>
      <c r="E9" s="22" t="s">
        <v>80</v>
      </c>
      <c r="F9" s="22"/>
      <c r="G9" s="22" t="s">
        <v>65</v>
      </c>
      <c r="H9" s="22"/>
      <c r="I9" s="22"/>
      <c r="J9" s="22"/>
      <c r="K9" s="22"/>
      <c r="L9" s="22"/>
    </row>
    <row r="10" customFormat="false" ht="15" hidden="false" customHeight="false" outlineLevel="0" collapsed="false">
      <c r="A10" s="19"/>
      <c r="B10" s="20" t="s">
        <v>65</v>
      </c>
      <c r="C10" s="20" t="s">
        <v>81</v>
      </c>
      <c r="D10" s="20" t="s">
        <v>82</v>
      </c>
      <c r="E10" s="22" t="s">
        <v>83</v>
      </c>
      <c r="F10" s="22" t="s">
        <v>84</v>
      </c>
      <c r="G10" s="22" t="s">
        <v>85</v>
      </c>
      <c r="H10" s="22" t="s">
        <v>86</v>
      </c>
      <c r="I10" s="22"/>
      <c r="J10" s="22" t="s">
        <v>87</v>
      </c>
      <c r="K10" s="22"/>
      <c r="L10" s="22"/>
    </row>
    <row r="11" customFormat="false" ht="15" hidden="false" customHeight="false" outlineLevel="0" collapsed="false">
      <c r="A11" s="19"/>
      <c r="B11" s="20" t="s">
        <v>88</v>
      </c>
      <c r="C11" s="21" t="s">
        <v>89</v>
      </c>
      <c r="D11" s="21" t="s">
        <v>67</v>
      </c>
      <c r="E11" s="22" t="s">
        <v>90</v>
      </c>
      <c r="F11" s="22"/>
      <c r="G11" s="22"/>
      <c r="H11" s="22"/>
      <c r="I11" s="22"/>
      <c r="J11" s="22"/>
      <c r="K11" s="22"/>
      <c r="L11" s="22"/>
    </row>
    <row r="12" customFormat="false" ht="23.85" hidden="false" customHeight="false" outlineLevel="0" collapsed="false">
      <c r="A12" s="19"/>
      <c r="B12" s="20" t="s">
        <v>88</v>
      </c>
      <c r="C12" s="23" t="s">
        <v>91</v>
      </c>
      <c r="D12" s="20" t="s">
        <v>71</v>
      </c>
      <c r="E12" s="22" t="s">
        <v>92</v>
      </c>
      <c r="F12" s="22" t="s">
        <v>93</v>
      </c>
      <c r="G12" s="22"/>
      <c r="H12" s="22"/>
      <c r="I12" s="22"/>
      <c r="J12" s="22"/>
      <c r="K12" s="22"/>
      <c r="L12" s="22"/>
    </row>
    <row r="13" customFormat="false" ht="15" hidden="false" customHeight="false" outlineLevel="0" collapsed="false">
      <c r="A13" s="19"/>
      <c r="B13" s="20" t="s">
        <v>88</v>
      </c>
      <c r="C13" s="23" t="s">
        <v>94</v>
      </c>
      <c r="D13" s="20" t="s">
        <v>71</v>
      </c>
      <c r="E13" s="22" t="s">
        <v>95</v>
      </c>
      <c r="F13" s="22"/>
      <c r="G13" s="22"/>
      <c r="H13" s="22"/>
      <c r="I13" s="22"/>
      <c r="J13" s="22"/>
      <c r="K13" s="22"/>
      <c r="L13" s="22"/>
    </row>
    <row r="14" customFormat="false" ht="15" hidden="false" customHeight="false" outlineLevel="0" collapsed="false">
      <c r="A14" s="19"/>
      <c r="B14" s="20" t="s">
        <v>96</v>
      </c>
      <c r="C14" s="21" t="s">
        <v>97</v>
      </c>
      <c r="D14" s="21" t="s">
        <v>67</v>
      </c>
      <c r="E14" s="22" t="s">
        <v>98</v>
      </c>
      <c r="F14" s="22"/>
      <c r="G14" s="22"/>
      <c r="H14" s="22"/>
      <c r="I14" s="22"/>
      <c r="J14" s="22"/>
      <c r="K14" s="22"/>
      <c r="L14" s="22"/>
    </row>
    <row r="15" customFormat="false" ht="23.85" hidden="false" customHeight="false" outlineLevel="0" collapsed="false">
      <c r="A15" s="19"/>
      <c r="B15" s="20" t="s">
        <v>96</v>
      </c>
      <c r="C15" s="20" t="s">
        <v>99</v>
      </c>
      <c r="D15" s="20" t="s">
        <v>71</v>
      </c>
      <c r="E15" s="22" t="s">
        <v>100</v>
      </c>
      <c r="F15" s="22"/>
      <c r="G15" s="22" t="s">
        <v>101</v>
      </c>
      <c r="H15" s="22"/>
      <c r="I15" s="22"/>
      <c r="J15" s="22" t="s">
        <v>102</v>
      </c>
      <c r="K15" s="22"/>
      <c r="L15" s="22"/>
    </row>
    <row r="16" customFormat="false" ht="15" hidden="false" customHeight="false" outlineLevel="0" collapsed="false">
      <c r="A16" s="19"/>
      <c r="B16" s="20" t="s">
        <v>103</v>
      </c>
      <c r="C16" s="21" t="s">
        <v>104</v>
      </c>
      <c r="D16" s="21" t="s">
        <v>67</v>
      </c>
      <c r="E16" s="22" t="s">
        <v>105</v>
      </c>
      <c r="F16" s="22"/>
      <c r="G16" s="22"/>
      <c r="H16" s="22"/>
      <c r="I16" s="22"/>
      <c r="J16" s="22"/>
      <c r="K16" s="22"/>
      <c r="L16" s="22"/>
    </row>
    <row r="17" customFormat="false" ht="15" hidden="false" customHeight="false" outlineLevel="0" collapsed="false">
      <c r="A17" s="19"/>
      <c r="B17" s="20" t="s">
        <v>106</v>
      </c>
      <c r="C17" s="21" t="s">
        <v>107</v>
      </c>
      <c r="D17" s="21" t="s">
        <v>67</v>
      </c>
      <c r="E17" s="22" t="s">
        <v>108</v>
      </c>
      <c r="F17" s="22"/>
      <c r="G17" s="22"/>
      <c r="H17" s="22" t="s">
        <v>108</v>
      </c>
      <c r="I17" s="22"/>
      <c r="J17" s="22"/>
      <c r="K17" s="22"/>
      <c r="L17" s="22"/>
    </row>
    <row r="18" customFormat="false" ht="15" hidden="false" customHeight="false" outlineLevel="0" collapsed="false">
      <c r="A18" s="19"/>
      <c r="B18" s="20" t="s">
        <v>106</v>
      </c>
      <c r="C18" s="21" t="s">
        <v>109</v>
      </c>
      <c r="D18" s="21" t="s">
        <v>67</v>
      </c>
      <c r="E18" s="22" t="s">
        <v>110</v>
      </c>
      <c r="F18" s="22"/>
      <c r="G18" s="22"/>
      <c r="H18" s="22"/>
      <c r="I18" s="22"/>
      <c r="J18" s="22"/>
      <c r="K18" s="22"/>
      <c r="L18" s="22"/>
    </row>
    <row r="19" customFormat="false" ht="15" hidden="false" customHeight="false" outlineLevel="0" collapsed="false">
      <c r="A19" s="19"/>
      <c r="B19" s="20" t="s">
        <v>106</v>
      </c>
      <c r="C19" s="20" t="s">
        <v>111</v>
      </c>
      <c r="D19" s="20" t="s">
        <v>71</v>
      </c>
      <c r="E19" s="22" t="s">
        <v>112</v>
      </c>
      <c r="F19" s="22"/>
      <c r="G19" s="22"/>
      <c r="H19" s="22"/>
      <c r="I19" s="22"/>
      <c r="J19" s="22"/>
      <c r="K19" s="22"/>
      <c r="L19" s="22"/>
    </row>
    <row r="20" customFormat="false" ht="15" hidden="false" customHeight="false" outlineLevel="0" collapsed="false">
      <c r="A20" s="19"/>
      <c r="B20" s="20" t="s">
        <v>106</v>
      </c>
      <c r="C20" s="20" t="s">
        <v>113</v>
      </c>
      <c r="D20" s="20" t="s">
        <v>71</v>
      </c>
      <c r="E20" s="22" t="s">
        <v>114</v>
      </c>
      <c r="F20" s="22"/>
      <c r="G20" s="22"/>
      <c r="H20" s="22"/>
      <c r="I20" s="22"/>
      <c r="J20" s="22"/>
      <c r="K20" s="22"/>
      <c r="L20" s="22"/>
    </row>
    <row r="21" customFormat="false" ht="15" hidden="false" customHeight="false" outlineLevel="0" collapsed="false">
      <c r="A21" s="19"/>
      <c r="B21" s="20" t="s">
        <v>106</v>
      </c>
      <c r="C21" s="20" t="s">
        <v>115</v>
      </c>
      <c r="D21" s="20" t="s">
        <v>71</v>
      </c>
      <c r="E21" s="22" t="s">
        <v>116</v>
      </c>
      <c r="F21" s="22"/>
      <c r="G21" s="22"/>
      <c r="H21" s="22"/>
      <c r="I21" s="22"/>
      <c r="J21" s="22"/>
      <c r="K21" s="22"/>
      <c r="L21" s="22"/>
    </row>
    <row r="22" customFormat="false" ht="15" hidden="false" customHeight="false" outlineLevel="0" collapsed="false">
      <c r="A22" s="19"/>
      <c r="B22" s="20" t="s">
        <v>106</v>
      </c>
      <c r="C22" s="20" t="s">
        <v>117</v>
      </c>
      <c r="D22" s="20" t="s">
        <v>71</v>
      </c>
      <c r="E22" s="22" t="s">
        <v>118</v>
      </c>
      <c r="F22" s="22"/>
      <c r="G22" s="22"/>
      <c r="H22" s="22"/>
      <c r="I22" s="22"/>
      <c r="J22" s="22"/>
      <c r="K22" s="22"/>
      <c r="L22" s="22"/>
    </row>
    <row r="23" customFormat="false" ht="15" hidden="false" customHeight="false" outlineLevel="0" collapsed="false">
      <c r="A23" s="19"/>
      <c r="B23" s="20" t="s">
        <v>106</v>
      </c>
      <c r="C23" s="20" t="s">
        <v>119</v>
      </c>
      <c r="D23" s="20" t="s">
        <v>71</v>
      </c>
      <c r="E23" s="22" t="s">
        <v>120</v>
      </c>
      <c r="F23" s="22"/>
      <c r="G23" s="22"/>
      <c r="H23" s="22"/>
      <c r="I23" s="22"/>
      <c r="J23" s="22" t="s">
        <v>121</v>
      </c>
      <c r="K23" s="22"/>
      <c r="L23" s="22"/>
    </row>
    <row r="24" customFormat="false" ht="15" hidden="false" customHeight="false" outlineLevel="0" collapsed="false">
      <c r="A24" s="19"/>
      <c r="B24" s="20" t="s">
        <v>106</v>
      </c>
      <c r="C24" s="20" t="s">
        <v>122</v>
      </c>
      <c r="D24" s="20" t="s">
        <v>71</v>
      </c>
      <c r="E24" s="22" t="s">
        <v>123</v>
      </c>
      <c r="F24" s="22"/>
      <c r="G24" s="22" t="s">
        <v>65</v>
      </c>
      <c r="H24" s="22"/>
      <c r="I24" s="22"/>
      <c r="J24" s="22"/>
      <c r="K24" s="22"/>
      <c r="L24" s="22"/>
    </row>
    <row r="25" customFormat="false" ht="15" hidden="false" customHeight="false" outlineLevel="0" collapsed="false">
      <c r="A25" s="19"/>
      <c r="B25" s="20" t="s">
        <v>106</v>
      </c>
      <c r="C25" s="20" t="s">
        <v>124</v>
      </c>
      <c r="D25" s="20" t="s">
        <v>71</v>
      </c>
      <c r="E25" s="22" t="s">
        <v>125</v>
      </c>
      <c r="F25" s="22"/>
      <c r="G25" s="22"/>
      <c r="H25" s="22"/>
      <c r="I25" s="22"/>
      <c r="J25" s="22" t="s">
        <v>126</v>
      </c>
      <c r="K25" s="22"/>
      <c r="L25" s="22"/>
    </row>
    <row r="26" customFormat="false" ht="15" hidden="false" customHeight="false" outlineLevel="0" collapsed="false">
      <c r="A26" s="19"/>
      <c r="B26" s="20" t="s">
        <v>106</v>
      </c>
      <c r="C26" s="20" t="s">
        <v>127</v>
      </c>
      <c r="D26" s="20" t="s">
        <v>71</v>
      </c>
      <c r="E26" s="22" t="s">
        <v>128</v>
      </c>
      <c r="F26" s="22"/>
      <c r="G26" s="22"/>
      <c r="H26" s="22"/>
      <c r="I26" s="22"/>
      <c r="J26" s="22" t="s">
        <v>129</v>
      </c>
      <c r="K26" s="22"/>
      <c r="L26" s="22"/>
    </row>
    <row r="27" customFormat="false" ht="15" hidden="false" customHeight="false" outlineLevel="0" collapsed="false">
      <c r="A27" s="19"/>
      <c r="B27" s="20" t="s">
        <v>130</v>
      </c>
      <c r="C27" s="21" t="s">
        <v>131</v>
      </c>
      <c r="D27" s="21" t="s">
        <v>67</v>
      </c>
      <c r="E27" s="22" t="s">
        <v>132</v>
      </c>
      <c r="F27" s="22" t="s">
        <v>133</v>
      </c>
      <c r="G27" s="22"/>
      <c r="H27" s="22"/>
      <c r="I27" s="22" t="s">
        <v>132</v>
      </c>
      <c r="J27" s="22"/>
      <c r="K27" s="22"/>
      <c r="L27" s="22"/>
    </row>
    <row r="28" customFormat="false" ht="15" hidden="false" customHeight="false" outlineLevel="0" collapsed="false">
      <c r="A28" s="19"/>
      <c r="B28" s="20" t="s">
        <v>130</v>
      </c>
      <c r="C28" s="23" t="s">
        <v>134</v>
      </c>
      <c r="D28" s="20" t="s">
        <v>71</v>
      </c>
      <c r="E28" s="22" t="s">
        <v>135</v>
      </c>
      <c r="F28" s="22" t="s">
        <v>136</v>
      </c>
      <c r="G28" s="22"/>
      <c r="H28" s="22"/>
      <c r="I28" s="22"/>
      <c r="J28" s="22"/>
      <c r="K28" s="22"/>
      <c r="L28" s="22"/>
    </row>
    <row r="29" customFormat="false" ht="15" hidden="false" customHeight="false" outlineLevel="0" collapsed="false">
      <c r="A29" s="19"/>
      <c r="B29" s="20" t="s">
        <v>130</v>
      </c>
      <c r="C29" s="23" t="s">
        <v>137</v>
      </c>
      <c r="D29" s="20" t="s">
        <v>71</v>
      </c>
      <c r="E29" s="22" t="s">
        <v>138</v>
      </c>
      <c r="F29" s="22" t="s">
        <v>139</v>
      </c>
      <c r="G29" s="22"/>
      <c r="H29" s="22"/>
      <c r="I29" s="22"/>
      <c r="J29" s="22"/>
      <c r="K29" s="22"/>
      <c r="L29" s="22"/>
    </row>
    <row r="30" customFormat="false" ht="15" hidden="false" customHeight="false" outlineLevel="0" collapsed="false">
      <c r="A30" s="19"/>
      <c r="B30" s="20" t="s">
        <v>130</v>
      </c>
      <c r="C30" s="23" t="s">
        <v>140</v>
      </c>
      <c r="D30" s="20" t="s">
        <v>71</v>
      </c>
      <c r="E30" s="22" t="s">
        <v>141</v>
      </c>
      <c r="F30" s="22" t="s">
        <v>142</v>
      </c>
      <c r="G30" s="22"/>
      <c r="H30" s="22"/>
      <c r="I30" s="22"/>
      <c r="J30" s="22"/>
      <c r="K30" s="22"/>
      <c r="L30" s="22"/>
    </row>
    <row r="31" customFormat="false" ht="15" hidden="false" customHeight="false" outlineLevel="0" collapsed="false">
      <c r="A31" s="19"/>
      <c r="B31" s="20" t="s">
        <v>130</v>
      </c>
      <c r="C31" s="23" t="s">
        <v>143</v>
      </c>
      <c r="D31" s="20" t="s">
        <v>71</v>
      </c>
      <c r="E31" s="22" t="s">
        <v>144</v>
      </c>
      <c r="F31" s="22" t="s">
        <v>145</v>
      </c>
      <c r="G31" s="22"/>
      <c r="H31" s="22"/>
      <c r="I31" s="22"/>
      <c r="J31" s="22"/>
      <c r="K31" s="22"/>
      <c r="L31" s="22"/>
    </row>
    <row r="32" customFormat="false" ht="15" hidden="false" customHeight="false" outlineLevel="0" collapsed="false">
      <c r="A32" s="19"/>
      <c r="B32" s="20" t="s">
        <v>130</v>
      </c>
      <c r="C32" s="23" t="s">
        <v>146</v>
      </c>
      <c r="D32" s="20" t="s">
        <v>71</v>
      </c>
      <c r="E32" s="22" t="s">
        <v>147</v>
      </c>
      <c r="F32" s="22" t="s">
        <v>148</v>
      </c>
      <c r="G32" s="22"/>
      <c r="H32" s="22"/>
      <c r="I32" s="22"/>
      <c r="J32" s="22"/>
      <c r="K32" s="22"/>
      <c r="L32" s="22"/>
    </row>
    <row r="33" customFormat="false" ht="15" hidden="false" customHeight="false" outlineLevel="0" collapsed="false">
      <c r="A33" s="19"/>
      <c r="B33" s="20" t="s">
        <v>130</v>
      </c>
      <c r="C33" s="23" t="s">
        <v>149</v>
      </c>
      <c r="D33" s="20" t="s">
        <v>71</v>
      </c>
      <c r="E33" s="22" t="s">
        <v>150</v>
      </c>
      <c r="F33" s="22" t="s">
        <v>151</v>
      </c>
      <c r="G33" s="22"/>
      <c r="H33" s="22"/>
      <c r="I33" s="22"/>
      <c r="J33" s="22" t="s">
        <v>152</v>
      </c>
      <c r="K33" s="22"/>
      <c r="L33" s="22"/>
    </row>
    <row r="34" customFormat="false" ht="15" hidden="false" customHeight="false" outlineLevel="0" collapsed="false">
      <c r="A34" s="19"/>
      <c r="B34" s="20" t="s">
        <v>130</v>
      </c>
      <c r="C34" s="21" t="s">
        <v>153</v>
      </c>
      <c r="D34" s="21" t="s">
        <v>67</v>
      </c>
      <c r="E34" s="22" t="s">
        <v>154</v>
      </c>
      <c r="F34" s="22"/>
      <c r="G34" s="22"/>
      <c r="H34" s="22"/>
      <c r="I34" s="22"/>
      <c r="J34" s="22"/>
      <c r="K34" s="22"/>
      <c r="L34" s="22"/>
    </row>
    <row r="35" customFormat="false" ht="15" hidden="false" customHeight="false" outlineLevel="0" collapsed="false">
      <c r="A35" s="19"/>
      <c r="B35" s="20" t="s">
        <v>155</v>
      </c>
      <c r="C35" s="21" t="s">
        <v>156</v>
      </c>
      <c r="D35" s="21" t="s">
        <v>67</v>
      </c>
      <c r="E35" s="22" t="s">
        <v>157</v>
      </c>
      <c r="F35" s="22"/>
      <c r="G35" s="22"/>
      <c r="H35" s="22"/>
      <c r="I35" s="22"/>
      <c r="J35" s="22"/>
      <c r="K35" s="22"/>
      <c r="L35" s="22"/>
    </row>
    <row r="36" customFormat="false" ht="15" hidden="false" customHeight="false" outlineLevel="0" collapsed="false">
      <c r="A36" s="19"/>
      <c r="B36" s="20" t="s">
        <v>155</v>
      </c>
      <c r="C36" s="20" t="s">
        <v>158</v>
      </c>
      <c r="D36" s="20" t="s">
        <v>71</v>
      </c>
      <c r="E36" s="22" t="s">
        <v>159</v>
      </c>
      <c r="F36" s="22"/>
      <c r="G36" s="22"/>
      <c r="H36" s="22"/>
      <c r="I36" s="22"/>
      <c r="J36" s="22" t="s">
        <v>160</v>
      </c>
      <c r="K36" s="22"/>
      <c r="L36" s="22"/>
    </row>
    <row r="37" customFormat="false" ht="68.65" hidden="false" customHeight="false" outlineLevel="0" collapsed="false">
      <c r="A37" s="19"/>
      <c r="B37" s="20" t="s">
        <v>161</v>
      </c>
      <c r="C37" s="21" t="s">
        <v>162</v>
      </c>
      <c r="D37" s="21" t="s">
        <v>67</v>
      </c>
      <c r="E37" s="22" t="s">
        <v>163</v>
      </c>
      <c r="F37" s="22" t="s">
        <v>164</v>
      </c>
      <c r="G37" s="22" t="s">
        <v>163</v>
      </c>
      <c r="H37" s="22"/>
      <c r="I37" s="22" t="s">
        <v>165</v>
      </c>
      <c r="J37" s="22" t="s">
        <v>166</v>
      </c>
      <c r="K37" s="22"/>
      <c r="L37" s="22"/>
    </row>
    <row r="38" customFormat="false" ht="15" hidden="false" customHeight="false" outlineLevel="0" collapsed="false">
      <c r="A38" s="19"/>
      <c r="B38" s="20" t="s">
        <v>161</v>
      </c>
      <c r="C38" s="23" t="s">
        <v>167</v>
      </c>
      <c r="D38" s="20" t="s">
        <v>71</v>
      </c>
      <c r="E38" s="22" t="s">
        <v>168</v>
      </c>
      <c r="F38" s="22"/>
      <c r="G38" s="22"/>
      <c r="H38" s="22"/>
      <c r="I38" s="22"/>
      <c r="J38" s="22"/>
      <c r="K38" s="22"/>
      <c r="L38" s="22"/>
    </row>
    <row r="39" customFormat="false" ht="15" hidden="false" customHeight="false" outlineLevel="0" collapsed="false">
      <c r="A39" s="19"/>
      <c r="B39" s="20" t="s">
        <v>169</v>
      </c>
      <c r="C39" s="21" t="s">
        <v>170</v>
      </c>
      <c r="D39" s="21" t="s">
        <v>67</v>
      </c>
      <c r="E39" s="22" t="s">
        <v>171</v>
      </c>
      <c r="F39" s="22"/>
      <c r="G39" s="22"/>
      <c r="H39" s="22"/>
      <c r="I39" s="22"/>
      <c r="J39" s="22" t="s">
        <v>172</v>
      </c>
      <c r="K39" s="22"/>
      <c r="L39" s="22"/>
    </row>
    <row r="40" customFormat="false" ht="15" hidden="false" customHeight="false" outlineLevel="0" collapsed="false">
      <c r="A40" s="19"/>
      <c r="B40" s="20" t="s">
        <v>169</v>
      </c>
      <c r="C40" s="23" t="s">
        <v>173</v>
      </c>
      <c r="D40" s="20" t="s">
        <v>71</v>
      </c>
      <c r="E40" s="22" t="s">
        <v>174</v>
      </c>
      <c r="F40" s="22"/>
      <c r="G40" s="22"/>
      <c r="H40" s="22"/>
      <c r="I40" s="22"/>
      <c r="J40" s="22" t="s">
        <v>172</v>
      </c>
      <c r="K40" s="22"/>
      <c r="L40" s="22"/>
    </row>
    <row r="41" customFormat="false" ht="15" hidden="false" customHeight="false" outlineLevel="0" collapsed="false">
      <c r="A41" s="19"/>
      <c r="B41" s="20" t="s">
        <v>169</v>
      </c>
      <c r="C41" s="21" t="s">
        <v>175</v>
      </c>
      <c r="D41" s="21" t="s">
        <v>67</v>
      </c>
      <c r="E41" s="22" t="s">
        <v>176</v>
      </c>
      <c r="F41" s="22"/>
      <c r="G41" s="22"/>
      <c r="H41" s="22"/>
      <c r="I41" s="22"/>
      <c r="J41" s="22"/>
      <c r="K41" s="22"/>
      <c r="L41" s="22"/>
    </row>
    <row r="42" customFormat="false" ht="15" hidden="false" customHeight="false" outlineLevel="0" collapsed="false">
      <c r="A42" s="19"/>
      <c r="B42" s="20" t="s">
        <v>169</v>
      </c>
      <c r="C42" s="23" t="s">
        <v>177</v>
      </c>
      <c r="D42" s="20" t="s">
        <v>71</v>
      </c>
      <c r="E42" s="22" t="s">
        <v>178</v>
      </c>
      <c r="F42" s="22"/>
      <c r="G42" s="22"/>
      <c r="H42" s="22"/>
      <c r="I42" s="22"/>
      <c r="J42" s="22"/>
      <c r="K42" s="22"/>
      <c r="L42" s="22"/>
    </row>
    <row r="43" customFormat="false" ht="15" hidden="false" customHeight="false" outlineLevel="0" collapsed="false">
      <c r="A43" s="19"/>
      <c r="B43" s="20" t="s">
        <v>179</v>
      </c>
      <c r="C43" s="21" t="s">
        <v>180</v>
      </c>
      <c r="D43" s="21" t="s">
        <v>67</v>
      </c>
      <c r="E43" s="22" t="s">
        <v>181</v>
      </c>
      <c r="F43" s="22"/>
      <c r="G43" s="22"/>
      <c r="H43" s="22"/>
      <c r="I43" s="22"/>
      <c r="J43" s="22"/>
      <c r="K43" s="22"/>
      <c r="L43" s="22"/>
    </row>
    <row r="44" customFormat="false" ht="15" hidden="false" customHeight="false" outlineLevel="0" collapsed="false">
      <c r="A44" s="19"/>
      <c r="B44" s="20" t="s">
        <v>182</v>
      </c>
      <c r="C44" s="21" t="s">
        <v>183</v>
      </c>
      <c r="D44" s="21" t="s">
        <v>67</v>
      </c>
      <c r="E44" s="22" t="s">
        <v>184</v>
      </c>
      <c r="F44" s="22"/>
      <c r="G44" s="22"/>
      <c r="H44" s="22"/>
      <c r="I44" s="22"/>
      <c r="J44" s="22" t="s">
        <v>185</v>
      </c>
      <c r="K44" s="22"/>
      <c r="L44" s="22"/>
    </row>
    <row r="45" customFormat="false" ht="15" hidden="false" customHeight="false" outlineLevel="0" collapsed="false">
      <c r="A45" s="19"/>
      <c r="B45" s="20" t="s">
        <v>182</v>
      </c>
      <c r="C45" s="23" t="s">
        <v>186</v>
      </c>
      <c r="D45" s="20" t="s">
        <v>82</v>
      </c>
      <c r="E45" s="22" t="s">
        <v>187</v>
      </c>
      <c r="F45" s="22"/>
      <c r="G45" s="22" t="s">
        <v>188</v>
      </c>
      <c r="H45" s="22"/>
      <c r="I45" s="22"/>
      <c r="J45" s="22"/>
      <c r="K45" s="22"/>
      <c r="L45" s="22"/>
    </row>
    <row r="46" customFormat="false" ht="15" hidden="false" customHeight="false" outlineLevel="0" collapsed="false">
      <c r="A46" s="19"/>
      <c r="B46" s="20" t="s">
        <v>189</v>
      </c>
      <c r="C46" s="21" t="s">
        <v>190</v>
      </c>
      <c r="D46" s="21" t="s">
        <v>67</v>
      </c>
      <c r="E46" s="22" t="s">
        <v>191</v>
      </c>
      <c r="F46" s="22"/>
      <c r="G46" s="22"/>
      <c r="H46" s="22"/>
      <c r="I46" s="22"/>
      <c r="J46" s="22"/>
      <c r="K46" s="22"/>
      <c r="L46" s="22"/>
    </row>
    <row r="47" customFormat="false" ht="15" hidden="false" customHeight="false" outlineLevel="0" collapsed="false">
      <c r="A47" s="19"/>
      <c r="B47" s="20" t="s">
        <v>192</v>
      </c>
      <c r="C47" s="21" t="s">
        <v>193</v>
      </c>
      <c r="D47" s="21" t="s">
        <v>67</v>
      </c>
      <c r="E47" s="22" t="s">
        <v>194</v>
      </c>
      <c r="F47" s="22"/>
      <c r="G47" s="22"/>
      <c r="H47" s="22"/>
      <c r="I47" s="22"/>
      <c r="J47" s="22"/>
      <c r="K47" s="22"/>
      <c r="L47" s="22"/>
    </row>
    <row r="48" customFormat="false" ht="15" hidden="false" customHeight="false" outlineLevel="0" collapsed="false">
      <c r="A48" s="19"/>
      <c r="B48" s="20" t="s">
        <v>192</v>
      </c>
      <c r="C48" s="21" t="s">
        <v>195</v>
      </c>
      <c r="D48" s="21" t="s">
        <v>67</v>
      </c>
      <c r="E48" s="22" t="s">
        <v>196</v>
      </c>
      <c r="F48" s="22"/>
      <c r="G48" s="22"/>
      <c r="H48" s="22"/>
      <c r="I48" s="22"/>
      <c r="J48" s="22"/>
      <c r="K48" s="22"/>
      <c r="L48" s="22"/>
    </row>
  </sheetData>
  <conditionalFormatting sqref="A5:L48">
    <cfRule type="expression" priority="2" aboveAverage="0" equalAverage="0" bottom="0" percent="0" rank="0" text="" dxfId="3">
      <formula>$A5="✓"</formula>
    </cfRule>
    <cfRule type="expression" priority="3" aboveAverage="0" equalAverage="0" bottom="0" percent="0" rank="0" text="" dxfId="4">
      <formula>$D5="Screen"</formula>
    </cfRule>
  </conditionalFormatting>
  <dataValidations count="1">
    <dataValidation allowBlank="true" errorStyle="stop" operator="between" showDropDown="false" showErrorMessage="false" showInputMessage="false" sqref="A5:A48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6" t="s">
        <v>197</v>
      </c>
    </row>
    <row r="2" customFormat="false" ht="15" hidden="false" customHeight="false" outlineLevel="0" collapsed="false">
      <c r="A2" s="17" t="s">
        <v>198</v>
      </c>
    </row>
    <row r="4" customFormat="false" ht="15" hidden="false" customHeight="false" outlineLevel="0" collapsed="false">
      <c r="A4" s="24"/>
      <c r="B4" s="24" t="s">
        <v>53</v>
      </c>
      <c r="C4" s="24" t="s">
        <v>199</v>
      </c>
      <c r="D4" s="24" t="s">
        <v>200</v>
      </c>
    </row>
    <row r="5" customFormat="false" ht="15" hidden="false" customHeight="false" outlineLevel="0" collapsed="false">
      <c r="A5" s="25" t="s">
        <v>201</v>
      </c>
      <c r="B5" s="25" t="n">
        <f aca="false">COUNTIFS(SUMMARY!$D$5:$D$48,"Screen",SUMMARY!$A$5:$A$48,"✓")</f>
        <v>0</v>
      </c>
      <c r="C5" s="26" t="n">
        <f aca="false">COUNTIF(SUMMARY!$D$5:$D$48,"Screen")</f>
        <v>18</v>
      </c>
      <c r="D5" s="27" t="n">
        <f aca="false">IFERROR(B5/C5,0)</f>
        <v>0</v>
      </c>
    </row>
    <row r="6" customFormat="false" ht="15" hidden="false" customHeight="false" outlineLevel="0" collapsed="false">
      <c r="A6" s="25" t="s">
        <v>202</v>
      </c>
      <c r="B6" s="25" t="n">
        <f aca="false">COUNTIFS(SUMMARY!$D$5:$D$48,"&lt;&gt;Screen",SUMMARY!$A$5:$A$48,"✓")</f>
        <v>0</v>
      </c>
      <c r="C6" s="26" t="n">
        <f aca="false">COUNTIF(SUMMARY!$D$5:$D$48,"&lt;&gt;Screen")</f>
        <v>26</v>
      </c>
      <c r="D6" s="27" t="n">
        <f aca="false">IFERROR(B6/C6,0)</f>
        <v>0</v>
      </c>
    </row>
    <row r="7" customFormat="false" ht="15" hidden="false" customHeight="false" outlineLevel="0" collapsed="false">
      <c r="A7" s="25" t="s">
        <v>203</v>
      </c>
      <c r="B7" s="25" t="n">
        <f aca="false">COUNTIF(SUMMARY!$A$5:$A$48,"✓")</f>
        <v>0</v>
      </c>
      <c r="C7" s="26" t="n">
        <f aca="false">ROWS(SUMMARY!$A$5:$A$48)</f>
        <v>44</v>
      </c>
      <c r="D7" s="27" t="n">
        <f aca="false">IFERROR(B7/C7,0)</f>
        <v>0</v>
      </c>
    </row>
    <row r="10" customFormat="false" ht="15" hidden="false" customHeight="false" outlineLevel="0" collapsed="false">
      <c r="A10" s="18" t="s">
        <v>54</v>
      </c>
      <c r="B10" s="18" t="s">
        <v>204</v>
      </c>
      <c r="C10" s="18" t="s">
        <v>201</v>
      </c>
      <c r="D10" s="18" t="s">
        <v>205</v>
      </c>
      <c r="E10" s="18" t="s">
        <v>202</v>
      </c>
      <c r="F10" s="18" t="s">
        <v>53</v>
      </c>
      <c r="G10" s="18" t="s">
        <v>199</v>
      </c>
      <c r="H10" s="18" t="s">
        <v>200</v>
      </c>
    </row>
    <row r="11" customFormat="false" ht="15" hidden="false" customHeight="false" outlineLevel="0" collapsed="false">
      <c r="A11" s="28" t="s">
        <v>65</v>
      </c>
      <c r="B11" s="28" t="n">
        <f aca="false">COUNTIFS(SUMMARY!$B$5:$B$48,$A11,SUMMARY!$D$5:$D$48,"Screen",SUMMARY!$A$5:$A$48,"✓")</f>
        <v>0</v>
      </c>
      <c r="C11" s="28" t="n">
        <f aca="false">COUNTIFS(SUMMARY!$B$5:$B$48,$A11,SUMMARY!$D$5:$D$48,"Screen")</f>
        <v>2</v>
      </c>
      <c r="D11" s="28" t="n">
        <f aca="false">COUNTIFS(SUMMARY!$B$5:$B$48,$A11,SUMMARY!$D$5:$D$48,"&lt;&gt;Screen",SUMMARY!$A$5:$A$48,"✓")</f>
        <v>0</v>
      </c>
      <c r="E11" s="28" t="n">
        <f aca="false">COUNTIFS(SUMMARY!$B$5:$B$48,$A11,SUMMARY!$D$5:$D$48,"&lt;&gt;Screen")</f>
        <v>4</v>
      </c>
      <c r="F11" s="28" t="n">
        <f aca="false">B11+D11</f>
        <v>0</v>
      </c>
      <c r="G11" s="28" t="n">
        <f aca="false">C11+E11</f>
        <v>6</v>
      </c>
      <c r="H11" s="29" t="n">
        <f aca="false">IFERROR(F11/G11,0)</f>
        <v>0</v>
      </c>
    </row>
    <row r="12" customFormat="false" ht="15" hidden="false" customHeight="false" outlineLevel="0" collapsed="false">
      <c r="A12" s="28" t="s">
        <v>88</v>
      </c>
      <c r="B12" s="28" t="n">
        <f aca="false">COUNTIFS(SUMMARY!$B$5:$B$48,$A12,SUMMARY!$D$5:$D$48,"Screen",SUMMARY!$A$5:$A$48,"✓")</f>
        <v>0</v>
      </c>
      <c r="C12" s="28" t="n">
        <f aca="false">COUNTIFS(SUMMARY!$B$5:$B$48,$A12,SUMMARY!$D$5:$D$48,"Screen")</f>
        <v>1</v>
      </c>
      <c r="D12" s="28" t="n">
        <f aca="false">COUNTIFS(SUMMARY!$B$5:$B$48,$A12,SUMMARY!$D$5:$D$48,"&lt;&gt;Screen",SUMMARY!$A$5:$A$48,"✓")</f>
        <v>0</v>
      </c>
      <c r="E12" s="28" t="n">
        <f aca="false">COUNTIFS(SUMMARY!$B$5:$B$48,$A12,SUMMARY!$D$5:$D$48,"&lt;&gt;Screen")</f>
        <v>2</v>
      </c>
      <c r="F12" s="28" t="n">
        <f aca="false">B12+D12</f>
        <v>0</v>
      </c>
      <c r="G12" s="28" t="n">
        <f aca="false">C12+E12</f>
        <v>3</v>
      </c>
      <c r="H12" s="29" t="n">
        <f aca="false">IFERROR(F12/G12,0)</f>
        <v>0</v>
      </c>
    </row>
    <row r="13" customFormat="false" ht="15" hidden="false" customHeight="false" outlineLevel="0" collapsed="false">
      <c r="A13" s="28" t="s">
        <v>96</v>
      </c>
      <c r="B13" s="28" t="n">
        <f aca="false">COUNTIFS(SUMMARY!$B$5:$B$48,$A13,SUMMARY!$D$5:$D$48,"Screen",SUMMARY!$A$5:$A$48,"✓")</f>
        <v>0</v>
      </c>
      <c r="C13" s="28" t="n">
        <f aca="false">COUNTIFS(SUMMARY!$B$5:$B$48,$A13,SUMMARY!$D$5:$D$48,"Screen")</f>
        <v>1</v>
      </c>
      <c r="D13" s="28" t="n">
        <f aca="false">COUNTIFS(SUMMARY!$B$5:$B$48,$A13,SUMMARY!$D$5:$D$48,"&lt;&gt;Screen",SUMMARY!$A$5:$A$48,"✓")</f>
        <v>0</v>
      </c>
      <c r="E13" s="28" t="n">
        <f aca="false">COUNTIFS(SUMMARY!$B$5:$B$48,$A13,SUMMARY!$D$5:$D$48,"&lt;&gt;Screen")</f>
        <v>1</v>
      </c>
      <c r="F13" s="28" t="n">
        <f aca="false">B13+D13</f>
        <v>0</v>
      </c>
      <c r="G13" s="28" t="n">
        <f aca="false">C13+E13</f>
        <v>2</v>
      </c>
      <c r="H13" s="29" t="n">
        <f aca="false">IFERROR(F13/G13,0)</f>
        <v>0</v>
      </c>
    </row>
    <row r="14" customFormat="false" ht="15" hidden="false" customHeight="false" outlineLevel="0" collapsed="false">
      <c r="A14" s="28" t="s">
        <v>103</v>
      </c>
      <c r="B14" s="28" t="n">
        <f aca="false">COUNTIFS(SUMMARY!$B$5:$B$48,$A14,SUMMARY!$D$5:$D$48,"Screen",SUMMARY!$A$5:$A$48,"✓")</f>
        <v>0</v>
      </c>
      <c r="C14" s="28" t="n">
        <f aca="false">COUNTIFS(SUMMARY!$B$5:$B$48,$A14,SUMMARY!$D$5:$D$48,"Screen")</f>
        <v>1</v>
      </c>
      <c r="D14" s="28" t="n">
        <f aca="false">COUNTIFS(SUMMARY!$B$5:$B$48,$A14,SUMMARY!$D$5:$D$48,"&lt;&gt;Screen",SUMMARY!$A$5:$A$48,"✓")</f>
        <v>0</v>
      </c>
      <c r="E14" s="28" t="n">
        <f aca="false">COUNTIFS(SUMMARY!$B$5:$B$48,$A14,SUMMARY!$D$5:$D$48,"&lt;&gt;Screen")</f>
        <v>0</v>
      </c>
      <c r="F14" s="28" t="n">
        <f aca="false">B14+D14</f>
        <v>0</v>
      </c>
      <c r="G14" s="28" t="n">
        <f aca="false">C14+E14</f>
        <v>1</v>
      </c>
      <c r="H14" s="29" t="n">
        <f aca="false">IFERROR(F14/G14,0)</f>
        <v>0</v>
      </c>
    </row>
    <row r="15" customFormat="false" ht="15" hidden="false" customHeight="false" outlineLevel="0" collapsed="false">
      <c r="A15" s="28" t="s">
        <v>106</v>
      </c>
      <c r="B15" s="28" t="n">
        <f aca="false">COUNTIFS(SUMMARY!$B$5:$B$48,$A15,SUMMARY!$D$5:$D$48,"Screen",SUMMARY!$A$5:$A$48,"✓")</f>
        <v>0</v>
      </c>
      <c r="C15" s="28" t="n">
        <f aca="false">COUNTIFS(SUMMARY!$B$5:$B$48,$A15,SUMMARY!$D$5:$D$48,"Screen")</f>
        <v>2</v>
      </c>
      <c r="D15" s="28" t="n">
        <f aca="false">COUNTIFS(SUMMARY!$B$5:$B$48,$A15,SUMMARY!$D$5:$D$48,"&lt;&gt;Screen",SUMMARY!$A$5:$A$48,"✓")</f>
        <v>0</v>
      </c>
      <c r="E15" s="28" t="n">
        <f aca="false">COUNTIFS(SUMMARY!$B$5:$B$48,$A15,SUMMARY!$D$5:$D$48,"&lt;&gt;Screen")</f>
        <v>8</v>
      </c>
      <c r="F15" s="28" t="n">
        <f aca="false">B15+D15</f>
        <v>0</v>
      </c>
      <c r="G15" s="28" t="n">
        <f aca="false">C15+E15</f>
        <v>10</v>
      </c>
      <c r="H15" s="29" t="n">
        <f aca="false">IFERROR(F15/G15,0)</f>
        <v>0</v>
      </c>
    </row>
    <row r="16" customFormat="false" ht="15" hidden="false" customHeight="false" outlineLevel="0" collapsed="false">
      <c r="A16" s="28" t="s">
        <v>130</v>
      </c>
      <c r="B16" s="28" t="n">
        <f aca="false">COUNTIFS(SUMMARY!$B$5:$B$48,$A16,SUMMARY!$D$5:$D$48,"Screen",SUMMARY!$A$5:$A$48,"✓")</f>
        <v>0</v>
      </c>
      <c r="C16" s="28" t="n">
        <f aca="false">COUNTIFS(SUMMARY!$B$5:$B$48,$A16,SUMMARY!$D$5:$D$48,"Screen")</f>
        <v>2</v>
      </c>
      <c r="D16" s="28" t="n">
        <f aca="false">COUNTIFS(SUMMARY!$B$5:$B$48,$A16,SUMMARY!$D$5:$D$48,"&lt;&gt;Screen",SUMMARY!$A$5:$A$48,"✓")</f>
        <v>0</v>
      </c>
      <c r="E16" s="28" t="n">
        <f aca="false">COUNTIFS(SUMMARY!$B$5:$B$48,$A16,SUMMARY!$D$5:$D$48,"&lt;&gt;Screen")</f>
        <v>6</v>
      </c>
      <c r="F16" s="28" t="n">
        <f aca="false">B16+D16</f>
        <v>0</v>
      </c>
      <c r="G16" s="28" t="n">
        <f aca="false">C16+E16</f>
        <v>8</v>
      </c>
      <c r="H16" s="29" t="n">
        <f aca="false">IFERROR(F16/G16,0)</f>
        <v>0</v>
      </c>
    </row>
    <row r="17" customFormat="false" ht="15" hidden="false" customHeight="false" outlineLevel="0" collapsed="false">
      <c r="A17" s="28" t="s">
        <v>155</v>
      </c>
      <c r="B17" s="28" t="n">
        <f aca="false">COUNTIFS(SUMMARY!$B$5:$B$48,$A17,SUMMARY!$D$5:$D$48,"Screen",SUMMARY!$A$5:$A$48,"✓")</f>
        <v>0</v>
      </c>
      <c r="C17" s="28" t="n">
        <f aca="false">COUNTIFS(SUMMARY!$B$5:$B$48,$A17,SUMMARY!$D$5:$D$48,"Screen")</f>
        <v>1</v>
      </c>
      <c r="D17" s="28" t="n">
        <f aca="false">COUNTIFS(SUMMARY!$B$5:$B$48,$A17,SUMMARY!$D$5:$D$48,"&lt;&gt;Screen",SUMMARY!$A$5:$A$48,"✓")</f>
        <v>0</v>
      </c>
      <c r="E17" s="28" t="n">
        <f aca="false">COUNTIFS(SUMMARY!$B$5:$B$48,$A17,SUMMARY!$D$5:$D$48,"&lt;&gt;Screen")</f>
        <v>1</v>
      </c>
      <c r="F17" s="28" t="n">
        <f aca="false">B17+D17</f>
        <v>0</v>
      </c>
      <c r="G17" s="28" t="n">
        <f aca="false">C17+E17</f>
        <v>2</v>
      </c>
      <c r="H17" s="29" t="n">
        <f aca="false">IFERROR(F17/G17,0)</f>
        <v>0</v>
      </c>
    </row>
    <row r="18" customFormat="false" ht="15" hidden="false" customHeight="false" outlineLevel="0" collapsed="false">
      <c r="A18" s="28" t="s">
        <v>161</v>
      </c>
      <c r="B18" s="28" t="n">
        <f aca="false">COUNTIFS(SUMMARY!$B$5:$B$48,$A18,SUMMARY!$D$5:$D$48,"Screen",SUMMARY!$A$5:$A$48,"✓")</f>
        <v>0</v>
      </c>
      <c r="C18" s="28" t="n">
        <f aca="false">COUNTIFS(SUMMARY!$B$5:$B$48,$A18,SUMMARY!$D$5:$D$48,"Screen")</f>
        <v>1</v>
      </c>
      <c r="D18" s="28" t="n">
        <f aca="false">COUNTIFS(SUMMARY!$B$5:$B$48,$A18,SUMMARY!$D$5:$D$48,"&lt;&gt;Screen",SUMMARY!$A$5:$A$48,"✓")</f>
        <v>0</v>
      </c>
      <c r="E18" s="28" t="n">
        <f aca="false">COUNTIFS(SUMMARY!$B$5:$B$48,$A18,SUMMARY!$D$5:$D$48,"&lt;&gt;Screen")</f>
        <v>1</v>
      </c>
      <c r="F18" s="28" t="n">
        <f aca="false">B18+D18</f>
        <v>0</v>
      </c>
      <c r="G18" s="28" t="n">
        <f aca="false">C18+E18</f>
        <v>2</v>
      </c>
      <c r="H18" s="29" t="n">
        <f aca="false">IFERROR(F18/G18,0)</f>
        <v>0</v>
      </c>
    </row>
    <row r="19" customFormat="false" ht="15" hidden="false" customHeight="false" outlineLevel="0" collapsed="false">
      <c r="A19" s="28" t="s">
        <v>169</v>
      </c>
      <c r="B19" s="28" t="n">
        <f aca="false">COUNTIFS(SUMMARY!$B$5:$B$48,$A19,SUMMARY!$D$5:$D$48,"Screen",SUMMARY!$A$5:$A$48,"✓")</f>
        <v>0</v>
      </c>
      <c r="C19" s="28" t="n">
        <f aca="false">COUNTIFS(SUMMARY!$B$5:$B$48,$A19,SUMMARY!$D$5:$D$48,"Screen")</f>
        <v>2</v>
      </c>
      <c r="D19" s="28" t="n">
        <f aca="false">COUNTIFS(SUMMARY!$B$5:$B$48,$A19,SUMMARY!$D$5:$D$48,"&lt;&gt;Screen",SUMMARY!$A$5:$A$48,"✓")</f>
        <v>0</v>
      </c>
      <c r="E19" s="28" t="n">
        <f aca="false">COUNTIFS(SUMMARY!$B$5:$B$48,$A19,SUMMARY!$D$5:$D$48,"&lt;&gt;Screen")</f>
        <v>2</v>
      </c>
      <c r="F19" s="28" t="n">
        <f aca="false">B19+D19</f>
        <v>0</v>
      </c>
      <c r="G19" s="28" t="n">
        <f aca="false">C19+E19</f>
        <v>4</v>
      </c>
      <c r="H19" s="29" t="n">
        <f aca="false">IFERROR(F19/G19,0)</f>
        <v>0</v>
      </c>
    </row>
    <row r="20" customFormat="false" ht="15" hidden="false" customHeight="false" outlineLevel="0" collapsed="false">
      <c r="A20" s="28" t="s">
        <v>179</v>
      </c>
      <c r="B20" s="28" t="n">
        <f aca="false">COUNTIFS(SUMMARY!$B$5:$B$48,$A20,SUMMARY!$D$5:$D$48,"Screen",SUMMARY!$A$5:$A$48,"✓")</f>
        <v>0</v>
      </c>
      <c r="C20" s="28" t="n">
        <f aca="false">COUNTIFS(SUMMARY!$B$5:$B$48,$A20,SUMMARY!$D$5:$D$48,"Screen")</f>
        <v>1</v>
      </c>
      <c r="D20" s="28" t="n">
        <f aca="false">COUNTIFS(SUMMARY!$B$5:$B$48,$A20,SUMMARY!$D$5:$D$48,"&lt;&gt;Screen",SUMMARY!$A$5:$A$48,"✓")</f>
        <v>0</v>
      </c>
      <c r="E20" s="28" t="n">
        <f aca="false">COUNTIFS(SUMMARY!$B$5:$B$48,$A20,SUMMARY!$D$5:$D$48,"&lt;&gt;Screen")</f>
        <v>0</v>
      </c>
      <c r="F20" s="28" t="n">
        <f aca="false">B20+D20</f>
        <v>0</v>
      </c>
      <c r="G20" s="28" t="n">
        <f aca="false">C20+E20</f>
        <v>1</v>
      </c>
      <c r="H20" s="29" t="n">
        <f aca="false">IFERROR(F20/G20,0)</f>
        <v>0</v>
      </c>
    </row>
    <row r="21" customFormat="false" ht="15" hidden="false" customHeight="false" outlineLevel="0" collapsed="false">
      <c r="A21" s="28" t="s">
        <v>182</v>
      </c>
      <c r="B21" s="28" t="n">
        <f aca="false">COUNTIFS(SUMMARY!$B$5:$B$48,$A21,SUMMARY!$D$5:$D$48,"Screen",SUMMARY!$A$5:$A$48,"✓")</f>
        <v>0</v>
      </c>
      <c r="C21" s="28" t="n">
        <f aca="false">COUNTIFS(SUMMARY!$B$5:$B$48,$A21,SUMMARY!$D$5:$D$48,"Screen")</f>
        <v>1</v>
      </c>
      <c r="D21" s="28" t="n">
        <f aca="false">COUNTIFS(SUMMARY!$B$5:$B$48,$A21,SUMMARY!$D$5:$D$48,"&lt;&gt;Screen",SUMMARY!$A$5:$A$48,"✓")</f>
        <v>0</v>
      </c>
      <c r="E21" s="28" t="n">
        <f aca="false">COUNTIFS(SUMMARY!$B$5:$B$48,$A21,SUMMARY!$D$5:$D$48,"&lt;&gt;Screen")</f>
        <v>1</v>
      </c>
      <c r="F21" s="28" t="n">
        <f aca="false">B21+D21</f>
        <v>0</v>
      </c>
      <c r="G21" s="28" t="n">
        <f aca="false">C21+E21</f>
        <v>2</v>
      </c>
      <c r="H21" s="29" t="n">
        <f aca="false">IFERROR(F21/G21,0)</f>
        <v>0</v>
      </c>
    </row>
    <row r="22" customFormat="false" ht="15" hidden="false" customHeight="false" outlineLevel="0" collapsed="false">
      <c r="A22" s="28" t="s">
        <v>189</v>
      </c>
      <c r="B22" s="28" t="n">
        <f aca="false">COUNTIFS(SUMMARY!$B$5:$B$48,$A22,SUMMARY!$D$5:$D$48,"Screen",SUMMARY!$A$5:$A$48,"✓")</f>
        <v>0</v>
      </c>
      <c r="C22" s="28" t="n">
        <f aca="false">COUNTIFS(SUMMARY!$B$5:$B$48,$A22,SUMMARY!$D$5:$D$48,"Screen")</f>
        <v>1</v>
      </c>
      <c r="D22" s="28" t="n">
        <f aca="false">COUNTIFS(SUMMARY!$B$5:$B$48,$A22,SUMMARY!$D$5:$D$48,"&lt;&gt;Screen",SUMMARY!$A$5:$A$48,"✓")</f>
        <v>0</v>
      </c>
      <c r="E22" s="28" t="n">
        <f aca="false">COUNTIFS(SUMMARY!$B$5:$B$48,$A22,SUMMARY!$D$5:$D$48,"&lt;&gt;Screen")</f>
        <v>0</v>
      </c>
      <c r="F22" s="28" t="n">
        <f aca="false">B22+D22</f>
        <v>0</v>
      </c>
      <c r="G22" s="28" t="n">
        <f aca="false">C22+E22</f>
        <v>1</v>
      </c>
      <c r="H22" s="29" t="n">
        <f aca="false">IFERROR(F22/G22,0)</f>
        <v>0</v>
      </c>
    </row>
    <row r="23" customFormat="false" ht="15" hidden="false" customHeight="false" outlineLevel="0" collapsed="false">
      <c r="A23" s="28" t="s">
        <v>192</v>
      </c>
      <c r="B23" s="28" t="n">
        <f aca="false">COUNTIFS(SUMMARY!$B$5:$B$48,$A23,SUMMARY!$D$5:$D$48,"Screen",SUMMARY!$A$5:$A$48,"✓")</f>
        <v>0</v>
      </c>
      <c r="C23" s="28" t="n">
        <f aca="false">COUNTIFS(SUMMARY!$B$5:$B$48,$A23,SUMMARY!$D$5:$D$48,"Screen")</f>
        <v>2</v>
      </c>
      <c r="D23" s="28" t="n">
        <f aca="false">COUNTIFS(SUMMARY!$B$5:$B$48,$A23,SUMMARY!$D$5:$D$48,"&lt;&gt;Screen",SUMMARY!$A$5:$A$48,"✓")</f>
        <v>0</v>
      </c>
      <c r="E23" s="28" t="n">
        <f aca="false">COUNTIFS(SUMMARY!$B$5:$B$48,$A23,SUMMARY!$D$5:$D$48,"&lt;&gt;Screen")</f>
        <v>0</v>
      </c>
      <c r="F23" s="28" t="n">
        <f aca="false">B23+D23</f>
        <v>0</v>
      </c>
      <c r="G23" s="28" t="n">
        <f aca="false">C23+E23</f>
        <v>2</v>
      </c>
      <c r="H23" s="29" t="n">
        <f aca="false">IFERROR(F23/G23,0)</f>
        <v>0</v>
      </c>
    </row>
  </sheetData>
  <conditionalFormatting sqref="H11:H23">
    <cfRule type="dataBar" priority="2">
      <dataBar showValue="1" minLength="10" maxLength="90">
        <cfvo type="num" val="0"/>
        <cfvo type="num" val="1"/>
        <color rgb="FF5B8DEF"/>
      </dataBar>
      <extLst>
        <ext xmlns:x14="http://schemas.microsoft.com/office/spreadsheetml/2009/9/main" uri="{B025F937-C7B1-47D3-B67F-A62EFF666E3E}">
          <x14:id>{E5DACD5F-E895-4BF0-AFF0-90CD4032E239}</x14:id>
        </ext>
      </extLst>
    </cfRule>
  </conditionalFormatting>
  <conditionalFormatting sqref="D5:D7">
    <cfRule type="dataBar" priority="3">
      <dataBar showValue="1" minLength="10" maxLength="90">
        <cfvo type="num" val="0"/>
        <cfvo type="num" val="1"/>
        <color rgb="FF5B8DEF"/>
      </dataBar>
      <extLst>
        <ext xmlns:x14="http://schemas.microsoft.com/office/spreadsheetml/2009/9/main" uri="{B025F937-C7B1-47D3-B67F-A62EFF666E3E}">
          <x14:id>{2CAD67CA-3423-4C5F-9570-7BBE13D5AA1C}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ACD5F-E895-4BF0-AFF0-90CD4032E23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8DEF"/>
              <x14:axisColor rgb="FF000000"/>
            </x14:dataBar>
          </x14:cfRule>
          <xm:sqref>H11:H23</xm:sqref>
        </x14:conditionalFormatting>
        <x14:conditionalFormatting xmlns:xm="http://schemas.microsoft.com/office/excel/2006/main">
          <x14:cfRule type="dataBar" id="{2CAD67CA-3423-4C5F-9570-7BBE13D5AA1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8DEF"/>
              <x14:axisColor rgb="FF000000"/>
            </x14:dataBar>
          </x14:cfRule>
          <xm:sqref>D5:D7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2026-10-18T16:57:55Z</dcterms:created>
  <dc:creator>openpyxl</dc:creator>
  <dc:description/>
  <dc:language>en-US</dc:language>
  <cp:lastModifiedBy/>
  <dcterms:modified xsi:type="dcterms:W3CDTF">2026-10-18T16:57:55Z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